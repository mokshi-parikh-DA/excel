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4\Desktop\mokshi DA 17\"/>
    </mc:Choice>
  </mc:AlternateContent>
  <xr:revisionPtr revIDLastSave="0" documentId="13_ncr:1_{01EABD38-1D80-42CE-9919-3C7054159A07}" xr6:coauthVersionLast="47" xr6:coauthVersionMax="47" xr10:uidLastSave="{00000000-0000-0000-0000-000000000000}"/>
  <bookViews>
    <workbookView xWindow="-120" yWindow="-120" windowWidth="20730" windowHeight="11040" activeTab="1" xr2:uid="{4E60E829-6087-4596-99B3-994F51E536D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3" l="1"/>
  <c r="M7" i="3"/>
  <c r="M3" i="3"/>
  <c r="H10" i="3"/>
  <c r="G4" i="3"/>
  <c r="K5" i="2"/>
  <c r="D10" i="2"/>
  <c r="D6" i="2"/>
  <c r="Q10" i="1"/>
  <c r="Q6" i="1"/>
  <c r="K7" i="1"/>
  <c r="Q3" i="1"/>
  <c r="K11" i="1"/>
  <c r="L3" i="1"/>
</calcChain>
</file>

<file path=xl/sharedStrings.xml><?xml version="1.0" encoding="utf-8"?>
<sst xmlns="http://schemas.openxmlformats.org/spreadsheetml/2006/main" count="99" uniqueCount="64">
  <si>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</si>
  <si>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</si>
  <si>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</si>
  <si>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</si>
  <si>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</si>
  <si>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</si>
  <si>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</si>
  <si>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</si>
  <si>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</si>
  <si>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</si>
  <si>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</si>
  <si>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</si>
  <si>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</si>
  <si>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</si>
  <si>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</si>
  <si>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</si>
  <si>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</si>
  <si>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</si>
  <si>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</si>
  <si>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</si>
  <si>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</si>
  <si>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</si>
  <si>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</si>
  <si>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</si>
  <si>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</si>
  <si>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</si>
  <si>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</si>
  <si>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</si>
  <si>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</si>
  <si>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</si>
  <si>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</si>
  <si>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</si>
  <si>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</si>
  <si>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Name of the Employee</t>
  </si>
  <si>
    <t>employee ID</t>
  </si>
  <si>
    <t>Employee Name</t>
  </si>
  <si>
    <t>Department of employee</t>
  </si>
  <si>
    <t>ID</t>
  </si>
  <si>
    <t>Salary of employee Neha sing</t>
  </si>
  <si>
    <t>Employee</t>
  </si>
  <si>
    <t>Location of employee</t>
  </si>
  <si>
    <t xml:space="preserve">If employee ID is not found </t>
  </si>
  <si>
    <t>ehgh</t>
  </si>
  <si>
    <t>Find the joining year of employee</t>
  </si>
  <si>
    <t xml:space="preserve">Joining date </t>
  </si>
  <si>
    <t>Bonus %</t>
  </si>
  <si>
    <t>Find bonus% for IT department</t>
  </si>
  <si>
    <t>Bonus%</t>
  </si>
  <si>
    <t>Find bonus% from Finance dep</t>
  </si>
  <si>
    <t>Dep</t>
  </si>
  <si>
    <t>Calculate bonus amt of employee E104</t>
  </si>
  <si>
    <t xml:space="preserve">if deparment is invalid </t>
  </si>
  <si>
    <t>hdh</t>
  </si>
  <si>
    <t>First salary using lookup ID</t>
  </si>
  <si>
    <t>salary</t>
  </si>
  <si>
    <t>Find department using employee name</t>
  </si>
  <si>
    <t>dep</t>
  </si>
  <si>
    <t>employe</t>
  </si>
  <si>
    <t xml:space="preserve">Location if employee </t>
  </si>
  <si>
    <t>emp</t>
  </si>
  <si>
    <t>location</t>
  </si>
  <si>
    <t>emp ID</t>
  </si>
  <si>
    <t>E999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</si>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</sst>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righ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0" fillId="4" borderId="0" xfId="0" applyFill="1"/>
    <xf numFmtId="0" fontId="3" fillId="0" borderId="0" xfId="0" applyFont="1"/>
    <xf numFmtId="0" fontId="0" fillId="0" borderId="0" xfId="0" applyFont="1"/>
    <xf numFmtId="0" fontId="0" fillId="0" borderId="0" xfId="0" applyAlignment="1">
      <alignment wrapText="1"/>
    </xf>
    <xf numFmtId="9" fontId="0" fillId="2" borderId="1" xfId="0" applyNumberFormat="1" applyFill="1" applyBorder="1" applyAlignment="1">
      <alignment horizontal="right" vertical="center" wrapText="1" indent="1"/>
    </xf>
    <xf numFmtId="0" fontId="2" fillId="2" borderId="0" xfId="0" applyFont="1" applyFill="1" applyBorder="1" applyAlignment="1">
      <alignment horizontal="right" vertical="center" wrapText="1" indent="1"/>
    </xf>
    <xf numFmtId="0" fontId="0" fillId="2" borderId="0" xfId="0" applyFill="1" applyBorder="1" applyAlignment="1">
      <alignment horizontal="right" vertical="center" wrapText="1" indent="1"/>
    </xf>
    <xf numFmtId="0" fontId="0" fillId="3" borderId="0" xfId="0" applyFill="1" applyBorder="1" applyAlignment="1">
      <alignment horizontal="right" vertical="center" wrapText="1" indent="1"/>
    </xf>
    <xf numFmtId="0" fontId="4" fillId="4" borderId="0" xfId="0" applyFont="1" applyFill="1"/>
    <xf numFmtId="9" fontId="0" fillId="0" borderId="0" xfId="1" applyFont="1"/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12A8-CBFD-4EA2-9573-53E8E3F5DEF9}">
  <dimension ref="A1:S15"/>
  <sheetViews>
    <sheetView zoomScaleNormal="100" workbookViewId="0">
      <selection activeCell="F1" sqref="F1"/>
    </sheetView>
  </sheetViews>
  <sheetFormatPr defaultRowHeight="15" x14ac:dyDescent="0.25"/>
  <cols>
    <col min="10" max="10" width="16.5703125" customWidth="1"/>
  </cols>
  <sheetData>
    <row r="1" spans="1:19" ht="30.7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2"/>
      <c r="I1" s="8">
        <v>1</v>
      </c>
      <c r="J1" s="18" t="s">
        <v>33</v>
      </c>
      <c r="K1" s="18"/>
      <c r="L1" s="18"/>
      <c r="O1" s="8">
        <v>4</v>
      </c>
      <c r="P1" s="7" t="s">
        <v>40</v>
      </c>
      <c r="Q1" s="7"/>
      <c r="R1" s="7"/>
    </row>
    <row r="2" spans="1:19" ht="30.75" thickBot="1" x14ac:dyDescent="0.3">
      <c r="A2" s="1" t="s">
        <v>6</v>
      </c>
      <c r="B2" s="4" t="s">
        <v>7</v>
      </c>
      <c r="C2" s="4" t="s">
        <v>8</v>
      </c>
      <c r="D2" s="4" t="s">
        <v>9</v>
      </c>
      <c r="E2" s="1">
        <v>45000</v>
      </c>
      <c r="F2" s="1">
        <v>2019</v>
      </c>
      <c r="G2" s="13"/>
      <c r="J2" s="19" t="s">
        <v>34</v>
      </c>
      <c r="K2" s="19"/>
      <c r="L2" s="19" t="s">
        <v>35</v>
      </c>
      <c r="M2" s="19"/>
      <c r="P2" t="s">
        <v>37</v>
      </c>
      <c r="Q2" t="s">
        <v>3</v>
      </c>
    </row>
    <row r="3" spans="1:19" ht="30.75" thickBo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  <c r="G3" s="14"/>
      <c r="K3" t="s">
        <v>22</v>
      </c>
      <c r="L3" s="19" t="str">
        <f>VLOOKUP(K3,A1:F9,2,0)</f>
        <v>Aman Kumar</v>
      </c>
      <c r="M3" s="19"/>
      <c r="N3" s="19"/>
      <c r="P3" t="s">
        <v>28</v>
      </c>
      <c r="Q3" t="str">
        <f>VLOOKUP(P3,A1:F9,4,1)</f>
        <v>Hyderabad</v>
      </c>
    </row>
    <row r="4" spans="1:19" ht="30.75" thickBot="1" x14ac:dyDescent="0.3">
      <c r="A4" s="1" t="s">
        <v>14</v>
      </c>
      <c r="B4" s="4" t="s">
        <v>15</v>
      </c>
      <c r="C4" s="4" t="s">
        <v>16</v>
      </c>
      <c r="D4" s="4" t="s">
        <v>17</v>
      </c>
      <c r="E4" s="1">
        <v>65000</v>
      </c>
      <c r="F4" s="1">
        <v>2020</v>
      </c>
      <c r="G4" s="13"/>
    </row>
    <row r="5" spans="1:19" ht="30.75" thickBot="1" x14ac:dyDescent="0.4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  <c r="G5" s="14"/>
      <c r="I5" s="8">
        <v>5</v>
      </c>
      <c r="J5" s="7" t="s">
        <v>41</v>
      </c>
      <c r="K5" s="7"/>
      <c r="L5" s="7"/>
      <c r="O5" s="8">
        <v>2</v>
      </c>
      <c r="P5" s="7" t="s">
        <v>36</v>
      </c>
      <c r="Q5" s="7"/>
      <c r="R5" s="7"/>
    </row>
    <row r="6" spans="1:19" ht="30.75" thickBot="1" x14ac:dyDescent="0.3">
      <c r="A6" s="1" t="s">
        <v>22</v>
      </c>
      <c r="B6" s="4" t="s">
        <v>23</v>
      </c>
      <c r="C6" s="4" t="s">
        <v>24</v>
      </c>
      <c r="D6" s="4" t="s">
        <v>9</v>
      </c>
      <c r="E6" s="1">
        <v>48000</v>
      </c>
      <c r="F6" s="1">
        <v>2021</v>
      </c>
      <c r="G6" s="13"/>
      <c r="J6" t="s">
        <v>37</v>
      </c>
      <c r="P6" t="s">
        <v>14</v>
      </c>
      <c r="Q6" t="str">
        <f>VLOOKUP(P6,A1:F9,3,1)</f>
        <v>IT</v>
      </c>
    </row>
    <row r="7" spans="1:19" ht="30.75" thickBot="1" x14ac:dyDescent="0.3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  <c r="G7" s="14"/>
      <c r="J7" t="s">
        <v>42</v>
      </c>
      <c r="K7" t="str">
        <f>IFERROR(VLOOKUP(J7,A1:F9,3,0),"not avail")</f>
        <v>not avail</v>
      </c>
    </row>
    <row r="8" spans="1:19" ht="30.75" thickBot="1" x14ac:dyDescent="0.4">
      <c r="A8" s="1" t="s">
        <v>28</v>
      </c>
      <c r="B8" s="4" t="s">
        <v>29</v>
      </c>
      <c r="C8" s="4" t="s">
        <v>8</v>
      </c>
      <c r="D8" s="4" t="s">
        <v>30</v>
      </c>
      <c r="E8" s="1">
        <v>47000</v>
      </c>
      <c r="F8" s="1">
        <v>2020</v>
      </c>
      <c r="G8" s="13"/>
      <c r="O8" s="8">
        <v>6</v>
      </c>
      <c r="P8" s="7" t="s">
        <v>43</v>
      </c>
      <c r="Q8" s="7"/>
      <c r="R8" s="7"/>
      <c r="S8" s="7"/>
    </row>
    <row r="9" spans="1:19" ht="30.75" thickBot="1" x14ac:dyDescent="0.4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  <c r="G9" s="14"/>
      <c r="I9" s="8">
        <v>3</v>
      </c>
      <c r="J9" s="7" t="s">
        <v>38</v>
      </c>
      <c r="K9" s="7"/>
      <c r="L9" s="7"/>
      <c r="P9" t="s">
        <v>37</v>
      </c>
      <c r="Q9" t="s">
        <v>44</v>
      </c>
    </row>
    <row r="10" spans="1:19" x14ac:dyDescent="0.25">
      <c r="J10" s="10" t="s">
        <v>39</v>
      </c>
      <c r="K10" t="s">
        <v>4</v>
      </c>
      <c r="P10" t="s">
        <v>6</v>
      </c>
      <c r="Q10">
        <f>VLOOKUP(P10,A1:F9,6,0)</f>
        <v>2019</v>
      </c>
    </row>
    <row r="11" spans="1:19" x14ac:dyDescent="0.25">
      <c r="I11" s="10"/>
      <c r="J11" s="10" t="s">
        <v>19</v>
      </c>
      <c r="K11">
        <f>VLOOKUP(J11,B1:F9,4,1)</f>
        <v>58000</v>
      </c>
    </row>
    <row r="13" spans="1:19" ht="15.75" thickBot="1" x14ac:dyDescent="0.3"/>
    <row r="14" spans="1:19" ht="15.75" thickBot="1" x14ac:dyDescent="0.3">
      <c r="E14" s="4"/>
      <c r="F14" s="11"/>
      <c r="G14" s="11"/>
      <c r="H14" s="11"/>
      <c r="I14" s="11"/>
      <c r="J14" s="11"/>
    </row>
    <row r="15" spans="1:19" x14ac:dyDescent="0.25">
      <c r="K15">
        <v>0</v>
      </c>
    </row>
  </sheetData>
  <mergeCells count="4">
    <mergeCell ref="J1:L1"/>
    <mergeCell ref="J2:K2"/>
    <mergeCell ref="L2:M2"/>
    <mergeCell ref="L3:N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B488-A2AA-4224-AC46-F3703D8C5AB6}">
  <dimension ref="A1:L13"/>
  <sheetViews>
    <sheetView tabSelected="1" workbookViewId="0">
      <selection activeCell="D13" sqref="D13"/>
    </sheetView>
  </sheetViews>
  <sheetFormatPr defaultRowHeight="15" x14ac:dyDescent="0.25"/>
  <sheetData>
    <row r="1" spans="1:12" ht="30.75" thickBot="1" x14ac:dyDescent="0.3">
      <c r="A1" s="3" t="s">
        <v>2</v>
      </c>
      <c r="B1" s="2" t="s">
        <v>8</v>
      </c>
      <c r="C1" s="2" t="s">
        <v>12</v>
      </c>
      <c r="D1" s="2" t="s">
        <v>16</v>
      </c>
      <c r="E1" s="2" t="s">
        <v>20</v>
      </c>
      <c r="F1" s="2" t="s">
        <v>24</v>
      </c>
    </row>
    <row r="2" spans="1:12" ht="30.75" thickBot="1" x14ac:dyDescent="0.3">
      <c r="A2" s="4" t="s">
        <v>45</v>
      </c>
      <c r="B2" s="11">
        <v>0.1</v>
      </c>
      <c r="C2" s="11">
        <v>0.08</v>
      </c>
      <c r="D2" s="11">
        <v>0.12</v>
      </c>
      <c r="E2" s="11">
        <v>0.15</v>
      </c>
      <c r="F2" s="11">
        <v>0.09</v>
      </c>
    </row>
    <row r="4" spans="1:12" ht="21" x14ac:dyDescent="0.35">
      <c r="B4" s="8">
        <v>7</v>
      </c>
      <c r="C4" s="15" t="s">
        <v>46</v>
      </c>
      <c r="D4" s="15"/>
      <c r="E4" s="15"/>
      <c r="I4" s="17">
        <v>10</v>
      </c>
      <c r="J4" s="15" t="s">
        <v>51</v>
      </c>
      <c r="K4" s="15"/>
      <c r="L4" s="15"/>
    </row>
    <row r="5" spans="1:12" ht="30" customHeight="1" x14ac:dyDescent="0.25">
      <c r="C5" s="10" t="s">
        <v>2</v>
      </c>
      <c r="D5" s="10" t="s">
        <v>47</v>
      </c>
      <c r="J5" t="s">
        <v>52</v>
      </c>
      <c r="K5" t="str">
        <f>IFERROR(HLOOKUP(J5,A1:F2,1,0),"no bonus data")</f>
        <v>no bonus data</v>
      </c>
    </row>
    <row r="6" spans="1:12" x14ac:dyDescent="0.25">
      <c r="C6" s="9" t="s">
        <v>16</v>
      </c>
      <c r="D6" s="16">
        <f>HLOOKUP(C6,A1:F2,2,0)</f>
        <v>0.12</v>
      </c>
    </row>
    <row r="7" spans="1:12" x14ac:dyDescent="0.25">
      <c r="D7" s="16"/>
    </row>
    <row r="8" spans="1:12" ht="21" x14ac:dyDescent="0.35">
      <c r="B8" s="8">
        <v>8</v>
      </c>
      <c r="C8" s="15" t="s">
        <v>48</v>
      </c>
      <c r="D8" s="7"/>
      <c r="E8" s="7"/>
      <c r="F8" s="7"/>
    </row>
    <row r="9" spans="1:12" x14ac:dyDescent="0.25">
      <c r="C9" t="s">
        <v>49</v>
      </c>
      <c r="D9" t="s">
        <v>45</v>
      </c>
    </row>
    <row r="10" spans="1:12" x14ac:dyDescent="0.25">
      <c r="C10" t="s">
        <v>20</v>
      </c>
      <c r="D10" s="16">
        <f>HLOOKUP(C10,A1:F2,2,0)</f>
        <v>0.15</v>
      </c>
    </row>
    <row r="12" spans="1:12" ht="21" x14ac:dyDescent="0.35">
      <c r="B12" s="8">
        <v>9</v>
      </c>
      <c r="C12" s="7" t="s">
        <v>50</v>
      </c>
      <c r="D12" s="7"/>
      <c r="E12" s="7"/>
      <c r="F12" s="7"/>
    </row>
    <row r="13" spans="1:12" x14ac:dyDescent="0.25">
      <c r="C13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0934-2203-4E71-B2AD-6744907F14BC}">
  <dimension ref="A1:M15"/>
  <sheetViews>
    <sheetView workbookViewId="0">
      <selection activeCell="H18" sqref="H18"/>
    </sheetView>
  </sheetViews>
  <sheetFormatPr defaultRowHeight="15" x14ac:dyDescent="0.25"/>
  <cols>
    <col min="6" max="6" width="13.5703125" customWidth="1"/>
  </cols>
  <sheetData>
    <row r="1" spans="1:13" ht="30.75" thickBot="1" x14ac:dyDescent="0.3">
      <c r="A1" s="3" t="s">
        <v>0</v>
      </c>
      <c r="B1" s="3" t="s">
        <v>1</v>
      </c>
    </row>
    <row r="2" spans="1:13" ht="30.75" thickBot="1" x14ac:dyDescent="0.4">
      <c r="A2" s="4" t="s">
        <v>18</v>
      </c>
      <c r="B2" s="4" t="s">
        <v>15</v>
      </c>
      <c r="E2" s="8">
        <v>11</v>
      </c>
      <c r="F2" s="15" t="s">
        <v>53</v>
      </c>
      <c r="G2" s="15"/>
      <c r="H2" s="15"/>
      <c r="K2" s="8">
        <v>14</v>
      </c>
      <c r="L2" t="s">
        <v>61</v>
      </c>
    </row>
    <row r="3" spans="1:13" x14ac:dyDescent="0.25">
      <c r="F3" t="s">
        <v>37</v>
      </c>
      <c r="G3" t="s">
        <v>54</v>
      </c>
      <c r="L3" t="s">
        <v>62</v>
      </c>
      <c r="M3" t="str">
        <f>_xlfn.XLOOKUP(L3,Sheet1!A1:A9,Sheet1!B1:B9,"employee not found ")</f>
        <v xml:space="preserve">employee not found </v>
      </c>
    </row>
    <row r="4" spans="1:13" x14ac:dyDescent="0.25">
      <c r="F4" t="s">
        <v>18</v>
      </c>
      <c r="G4">
        <f>_xlfn.XLOOKUP(Sheet3!F4,Sheet1!A1:A9,Sheet1!E1:E9,)</f>
        <v>58000</v>
      </c>
    </row>
    <row r="6" spans="1:13" ht="21" x14ac:dyDescent="0.35">
      <c r="K6" s="8">
        <v>15</v>
      </c>
      <c r="L6" t="s">
        <v>56</v>
      </c>
      <c r="M6" t="s">
        <v>63</v>
      </c>
    </row>
    <row r="7" spans="1:13" ht="21" x14ac:dyDescent="0.35">
      <c r="E7" s="8">
        <v>12</v>
      </c>
      <c r="F7" s="20" t="s">
        <v>55</v>
      </c>
      <c r="G7" s="20"/>
      <c r="H7" s="20"/>
      <c r="I7" s="20"/>
      <c r="L7" t="s">
        <v>16</v>
      </c>
      <c r="M7" s="16">
        <f>_xlfn.XLOOKUP(L7,Sheet2!A1:F1,Sheet2!A2:F2)</f>
        <v>0.12</v>
      </c>
    </row>
    <row r="9" spans="1:13" x14ac:dyDescent="0.25">
      <c r="F9" t="s">
        <v>57</v>
      </c>
      <c r="H9" t="s">
        <v>56</v>
      </c>
    </row>
    <row r="10" spans="1:13" x14ac:dyDescent="0.25">
      <c r="F10" s="22" t="s">
        <v>7</v>
      </c>
      <c r="G10" s="22"/>
      <c r="H10" t="str">
        <f>_xlfn.XLOOKUP(F10,Sheet1!B1:B9,Sheet1!C1:C9)</f>
        <v>Sales</v>
      </c>
    </row>
    <row r="13" spans="1:13" ht="21" x14ac:dyDescent="0.35">
      <c r="E13" s="21">
        <v>13</v>
      </c>
      <c r="F13" t="s">
        <v>58</v>
      </c>
    </row>
    <row r="14" spans="1:13" x14ac:dyDescent="0.25">
      <c r="F14" t="s">
        <v>59</v>
      </c>
      <c r="H14" t="s">
        <v>60</v>
      </c>
    </row>
    <row r="15" spans="1:13" x14ac:dyDescent="0.25">
      <c r="F15" s="22" t="s">
        <v>15</v>
      </c>
      <c r="G15" s="10"/>
      <c r="H15" t="str">
        <f>_xlfn.XLOOKUP(F15,Sheet1!B2:B9,Sheet1!D2:D9)</f>
        <v>Bangalore</v>
      </c>
    </row>
  </sheetData>
  <mergeCells count="1">
    <mergeCell ref="F7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ASDC24</dc:creator>
  <cp:lastModifiedBy>ASDC24</cp:lastModifiedBy>
  <dcterms:created xsi:type="dcterms:W3CDTF">2026-06-29T09:43:23Z</dcterms:created>
  <dcterms:modified xsi:type="dcterms:W3CDTF">2026-06-30T08:50:02Z</dcterms:modified>
</cp:coreProperties>
</file>