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4\Desktop\mokshi DA 17\ExcelWork\"/>
    </mc:Choice>
  </mc:AlternateContent>
  <xr:revisionPtr revIDLastSave="0" documentId="13_ncr:1_{E45CF2FF-E501-490F-B74E-D395AB7758E2}" xr6:coauthVersionLast="47" xr6:coauthVersionMax="47" xr10:uidLastSave="{00000000-0000-0000-0000-000000000000}"/>
  <bookViews>
    <workbookView xWindow="-120" yWindow="-120" windowWidth="20730" windowHeight="11040" firstSheet="1" activeTab="9" xr2:uid="{E66B2FDD-173F-433B-BA69-C3AE36825D9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 10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1" i="14" l="1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7" i="14"/>
  <c r="J3" i="6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7" i="9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7" i="8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8" i="7"/>
  <c r="K4" i="6"/>
  <c r="K5" i="6"/>
  <c r="K6" i="6"/>
  <c r="K3" i="6"/>
  <c r="J4" i="6"/>
  <c r="J5" i="6"/>
  <c r="J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6" i="6"/>
  <c r="D6" i="6"/>
  <c r="E6" i="6"/>
  <c r="F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6" i="6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8" i="5"/>
  <c r="C7" i="3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7" i="3"/>
  <c r="E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F6" i="3"/>
  <c r="F5" i="3"/>
  <c r="F4" i="3"/>
  <c r="F3" i="3"/>
  <c r="F2" i="3"/>
  <c r="H8" i="5" l="1"/>
  <c r="H9" i="5"/>
  <c r="H6" i="5"/>
  <c r="H7" i="5"/>
  <c r="H5" i="5"/>
  <c r="J22" i="6"/>
  <c r="J14" i="6"/>
  <c r="K21" i="6"/>
  <c r="K13" i="6"/>
  <c r="J7" i="6"/>
  <c r="K15" i="6"/>
  <c r="K18" i="6"/>
  <c r="K10" i="6"/>
  <c r="K20" i="6"/>
  <c r="K12" i="6"/>
  <c r="K17" i="6"/>
  <c r="K9" i="6"/>
  <c r="J16" i="6"/>
  <c r="J8" i="6"/>
  <c r="K19" i="6"/>
  <c r="K11" i="6"/>
  <c r="K8" i="6"/>
  <c r="K7" i="6"/>
  <c r="J18" i="6"/>
  <c r="J10" i="6"/>
  <c r="K22" i="6"/>
  <c r="K14" i="6"/>
  <c r="K16" i="6"/>
  <c r="J17" i="6"/>
  <c r="J9" i="6"/>
  <c r="J21" i="6"/>
  <c r="J13" i="6"/>
  <c r="J20" i="6"/>
  <c r="J12" i="6"/>
  <c r="J15" i="6"/>
  <c r="J19" i="6"/>
  <c r="J11" i="6"/>
  <c r="F21" i="3"/>
  <c r="F15" i="3"/>
  <c r="C23" i="4"/>
  <c r="C22" i="4"/>
  <c r="F19" i="3"/>
  <c r="F20" i="3"/>
  <c r="F12" i="3"/>
  <c r="F7" i="3"/>
  <c r="F11" i="3"/>
  <c r="F17" i="3"/>
  <c r="F16" i="3"/>
  <c r="F8" i="3"/>
  <c r="F14" i="3"/>
  <c r="F13" i="3"/>
  <c r="F9" i="3"/>
  <c r="F18" i="3"/>
  <c r="F10" i="3"/>
</calcChain>
</file>

<file path=xl/sharedStrings.xml><?xml version="1.0" encoding="utf-8"?>
<sst xmlns="http://schemas.openxmlformats.org/spreadsheetml/2006/main" count="388" uniqueCount="147">
  <si>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</si>
  <si>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</si>
  <si>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</si>
  <si>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</si>
  <si>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</si>
  <si>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</si>
  <si>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</si>
  <si>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</si>
  <si>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</si>
  <si>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</si>
  <si>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</si>
  <si>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</si>
  <si>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</si>
  <si>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</si>
  <si>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</si>
  <si>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</si>
  <si>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</si>
  <si>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</si>
  <si>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</si>
  <si>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</si>
  <si>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</si>
  <si>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</si>
  <si>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</si>
  <si>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</si>
  <si>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</si>
  <si>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</si>
  <si>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</si>
  <si>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</si>
  <si>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</si>
  <si>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</si>
  <si>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</si>
  <si>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</si>
  <si>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</si>
  <si>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</si>
  <si>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</si>
  <si>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</si>
  <si>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</si>
  <si>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</si>
  <si>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</si>
  <si>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</si>
  <si>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</si>
  <si>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</si>
  <si>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</si>
  <si>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</si>
  <si>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</si>
  <si>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</si>
  <si>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</si>
  <si>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</si>
  <si>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</si>
  <si>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</si>
  <si>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</si>
  <si>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</si>
  <si>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</si>
  <si>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</si>
  <si>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</si>
  <si>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</si>
  <si>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</si>
  <si>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</si>
  <si>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</si>
  <si>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</si>
  <si>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</si>
  <si>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</si>
  <si>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</si>
  <si>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</si>
  <si>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</si>
  <si>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</si>
  <si>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</si>
  <si>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</si>
  <si>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</si>
  <si>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</si>
  <si>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</si>
  <si>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</si>
  <si>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</si>
  <si>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</si>
  <si>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</si>
  <si>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</si>
  <si>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</si>
  <si>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</si>
  <si>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</si>
  <si>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</si>
  <si>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</si>
  <si>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</si>
  <si>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</si>
  <si>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</si>
  <si>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</si>
  <si>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</si>
  <si>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</si>
  <si>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</si>
  <si>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 xml:space="preserve">total sale </t>
  </si>
  <si>
    <t xml:space="preserve">average sale </t>
  </si>
  <si>
    <t>Employee Name</t>
  </si>
  <si>
    <t>Suresh</t>
  </si>
  <si>
    <t>Meena</t>
  </si>
  <si>
    <t>Karan</t>
  </si>
  <si>
    <t>Ritu</t>
  </si>
  <si>
    <t>Aman</t>
  </si>
  <si>
    <t>Neel</t>
  </si>
  <si>
    <t>Day 1</t>
  </si>
  <si>
    <t>Day 2</t>
  </si>
  <si>
    <t>Day 3</t>
  </si>
  <si>
    <t>Day 4</t>
  </si>
  <si>
    <t>Day 5</t>
  </si>
  <si>
    <t>P</t>
  </si>
  <si>
    <t>A</t>
  </si>
  <si>
    <t>present</t>
  </si>
  <si>
    <t>absent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</si>
  <si>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</si>
  <si>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</si>
  <si>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</si>
  <si>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</si>
  <si>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</si>
  <si>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</si>
  <si>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</si>
  <si>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</si>
  <si>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</si>
  <si>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</si>
  <si>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</si>
  <si>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</si>
  <si>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</si>
  <si>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</si>
  <si>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</si>
  <si>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</si>
  <si>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</si>
  <si>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</si>
  <si>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</si>
  <si>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</si>
  <si>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</si>
  <si>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Product</t>
  </si>
  <si>
    <t>Mobile</t>
  </si>
  <si>
    <t>Headphones</t>
  </si>
  <si>
    <t>Laptop</t>
  </si>
  <si>
    <t>Keyboard</t>
  </si>
  <si>
    <t>Tablet</t>
  </si>
  <si>
    <t>analysis table</t>
  </si>
  <si>
    <t xml:space="preserve">Total salary </t>
  </si>
  <si>
    <t>Average salary</t>
  </si>
  <si>
    <t xml:space="preserve">Total employe 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</si>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</sst>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b/>
      <sz val="12"/>
      <color rgb="FF1F2328"/>
      <name val="Segoe U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1F2328"/>
      <name val="Segoe UI"/>
      <family val="2"/>
    </font>
    <font>
      <b/>
      <i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5" borderId="0" applyNumberFormat="0" applyBorder="0" applyAlignment="0" applyProtection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  <xf numFmtId="165" fontId="1" fillId="2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164" fontId="1" fillId="3" borderId="1" xfId="0" applyNumberFormat="1" applyFont="1" applyFill="1" applyBorder="1" applyAlignment="1">
      <alignment horizontal="left" vertical="center" wrapText="1" indent="1"/>
    </xf>
    <xf numFmtId="165" fontId="1" fillId="3" borderId="1" xfId="0" applyNumberFormat="1" applyFont="1" applyFill="1" applyBorder="1" applyAlignment="1">
      <alignment horizontal="left" vertical="center" wrapText="1" indent="1"/>
    </xf>
    <xf numFmtId="0" fontId="0" fillId="0" borderId="1" xfId="0" applyBorder="1"/>
    <xf numFmtId="0" fontId="6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left" vertical="center" wrapText="1" indent="1"/>
    </xf>
    <xf numFmtId="164" fontId="1" fillId="3" borderId="2" xfId="0" applyNumberFormat="1" applyFont="1" applyFill="1" applyBorder="1" applyAlignment="1">
      <alignment horizontal="left" vertical="center" wrapText="1" indent="1"/>
    </xf>
    <xf numFmtId="9" fontId="1" fillId="2" borderId="2" xfId="1" applyFont="1" applyFill="1" applyBorder="1" applyAlignment="1">
      <alignment horizontal="left" vertical="center" wrapText="1" indent="1"/>
    </xf>
    <xf numFmtId="9" fontId="1" fillId="2" borderId="4" xfId="1" applyFont="1" applyFill="1" applyBorder="1" applyAlignment="1">
      <alignment horizontal="left" vertical="center" wrapText="1" indent="1"/>
    </xf>
    <xf numFmtId="0" fontId="5" fillId="5" borderId="2" xfId="2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left" vertical="center" wrapText="1" indent="1"/>
    </xf>
    <xf numFmtId="14" fontId="1" fillId="3" borderId="2" xfId="0" applyNumberFormat="1" applyFont="1" applyFill="1" applyBorder="1" applyAlignment="1">
      <alignment horizontal="left" vertical="center" wrapText="1" indent="1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10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Good" xfId="2" builtinId="26"/>
    <cellStyle name="Normal" xfId="0" builtinId="0"/>
    <cellStyle name="Percent" xfId="1" builtinId="5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83FA-E144-4E93-8ECC-953121901BD7}">
  <dimension ref="A1:J21"/>
  <sheetViews>
    <sheetView workbookViewId="0">
      <selection activeCell="J8" sqref="J8"/>
    </sheetView>
  </sheetViews>
  <sheetFormatPr defaultRowHeight="15" x14ac:dyDescent="0.25"/>
  <cols>
    <col min="1" max="1" width="8.28515625" bestFit="1" customWidth="1"/>
    <col min="3" max="3" width="9" bestFit="1" customWidth="1"/>
    <col min="4" max="4" width="14.42578125" bestFit="1" customWidth="1"/>
    <col min="5" max="5" width="22.42578125" bestFit="1" customWidth="1"/>
  </cols>
  <sheetData>
    <row r="1" spans="1:10" ht="3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51.75" x14ac:dyDescent="0.25">
      <c r="A2" s="2" t="s">
        <v>5</v>
      </c>
      <c r="B2" s="2" t="s">
        <v>6</v>
      </c>
      <c r="C2" s="2" t="s">
        <v>7</v>
      </c>
      <c r="D2" s="3">
        <v>32000</v>
      </c>
      <c r="E2" s="4">
        <v>44573</v>
      </c>
    </row>
    <row r="3" spans="1:10" ht="34.5" x14ac:dyDescent="0.25">
      <c r="A3" s="5" t="s">
        <v>8</v>
      </c>
      <c r="B3" s="5" t="s">
        <v>9</v>
      </c>
      <c r="C3" s="5" t="s">
        <v>10</v>
      </c>
      <c r="D3" s="6">
        <v>45000</v>
      </c>
      <c r="E3" s="7">
        <v>44260</v>
      </c>
    </row>
    <row r="4" spans="1:10" ht="34.5" x14ac:dyDescent="0.25">
      <c r="A4" s="2" t="s">
        <v>11</v>
      </c>
      <c r="B4" s="2" t="s">
        <v>12</v>
      </c>
      <c r="C4" s="2" t="s">
        <v>13</v>
      </c>
      <c r="D4" s="3">
        <v>38000</v>
      </c>
      <c r="E4" s="4">
        <v>44030</v>
      </c>
    </row>
    <row r="5" spans="1:10" ht="34.5" x14ac:dyDescent="0.25">
      <c r="A5" s="5" t="s">
        <v>14</v>
      </c>
      <c r="B5" s="5" t="s">
        <v>15</v>
      </c>
      <c r="C5" s="5" t="s">
        <v>10</v>
      </c>
      <c r="D5" s="6">
        <v>52000</v>
      </c>
      <c r="E5" s="7">
        <v>43779</v>
      </c>
    </row>
    <row r="6" spans="1:10" ht="34.5" x14ac:dyDescent="0.25">
      <c r="A6" s="2" t="s">
        <v>16</v>
      </c>
      <c r="B6" s="2" t="s">
        <v>17</v>
      </c>
      <c r="C6" s="2" t="s">
        <v>18</v>
      </c>
      <c r="D6" s="3">
        <v>30000</v>
      </c>
      <c r="E6" s="4">
        <v>45102</v>
      </c>
    </row>
    <row r="7" spans="1:10" ht="51.75" x14ac:dyDescent="0.25">
      <c r="A7" s="2" t="s">
        <v>19</v>
      </c>
      <c r="B7" s="2" t="s">
        <v>6</v>
      </c>
      <c r="C7" s="2" t="s">
        <v>7</v>
      </c>
      <c r="D7" s="3">
        <v>40300</v>
      </c>
      <c r="E7" s="4">
        <v>44573</v>
      </c>
    </row>
    <row r="8" spans="1:10" ht="34.5" x14ac:dyDescent="0.25">
      <c r="A8" s="2" t="s">
        <v>20</v>
      </c>
      <c r="B8" s="5" t="s">
        <v>9</v>
      </c>
      <c r="C8" s="5" t="s">
        <v>10</v>
      </c>
      <c r="D8" s="6">
        <v>40600</v>
      </c>
      <c r="E8" s="7">
        <v>44260</v>
      </c>
      <c r="J8" s="8"/>
    </row>
    <row r="9" spans="1:10" ht="34.5" x14ac:dyDescent="0.25">
      <c r="A9" s="2" t="s">
        <v>21</v>
      </c>
      <c r="B9" s="2" t="s">
        <v>12</v>
      </c>
      <c r="C9" s="2" t="s">
        <v>13</v>
      </c>
      <c r="D9" s="3">
        <v>40900</v>
      </c>
      <c r="E9" s="4">
        <v>44030</v>
      </c>
    </row>
    <row r="10" spans="1:10" ht="34.5" x14ac:dyDescent="0.25">
      <c r="A10" s="2" t="s">
        <v>22</v>
      </c>
      <c r="B10" s="5" t="s">
        <v>15</v>
      </c>
      <c r="C10" s="5" t="s">
        <v>10</v>
      </c>
      <c r="D10" s="6">
        <v>41200</v>
      </c>
      <c r="E10" s="7">
        <v>43779</v>
      </c>
    </row>
    <row r="11" spans="1:10" ht="34.5" x14ac:dyDescent="0.25">
      <c r="A11" s="2" t="s">
        <v>23</v>
      </c>
      <c r="B11" s="2" t="s">
        <v>17</v>
      </c>
      <c r="C11" s="2" t="s">
        <v>18</v>
      </c>
      <c r="D11" s="3">
        <v>41500</v>
      </c>
      <c r="E11" s="4">
        <v>45102</v>
      </c>
    </row>
    <row r="12" spans="1:10" ht="51.75" x14ac:dyDescent="0.25">
      <c r="A12" s="2" t="s">
        <v>24</v>
      </c>
      <c r="B12" s="2" t="s">
        <v>6</v>
      </c>
      <c r="C12" s="2" t="s">
        <v>7</v>
      </c>
      <c r="D12" s="3">
        <v>41800</v>
      </c>
      <c r="E12" s="4">
        <v>44573</v>
      </c>
    </row>
    <row r="13" spans="1:10" ht="34.5" x14ac:dyDescent="0.25">
      <c r="A13" s="2" t="s">
        <v>25</v>
      </c>
      <c r="B13" s="5" t="s">
        <v>9</v>
      </c>
      <c r="C13" s="5" t="s">
        <v>10</v>
      </c>
      <c r="D13" s="6">
        <v>42100</v>
      </c>
      <c r="E13" s="7">
        <v>44260</v>
      </c>
    </row>
    <row r="14" spans="1:10" ht="34.5" x14ac:dyDescent="0.25">
      <c r="A14" s="2" t="s">
        <v>26</v>
      </c>
      <c r="B14" s="2" t="s">
        <v>12</v>
      </c>
      <c r="C14" s="2" t="s">
        <v>13</v>
      </c>
      <c r="D14" s="3">
        <v>42400</v>
      </c>
      <c r="E14" s="4">
        <v>44030</v>
      </c>
    </row>
    <row r="15" spans="1:10" ht="34.5" x14ac:dyDescent="0.25">
      <c r="A15" s="2" t="s">
        <v>27</v>
      </c>
      <c r="B15" s="5" t="s">
        <v>15</v>
      </c>
      <c r="C15" s="5" t="s">
        <v>10</v>
      </c>
      <c r="D15" s="6">
        <v>42700</v>
      </c>
      <c r="E15" s="7">
        <v>43779</v>
      </c>
    </row>
    <row r="16" spans="1:10" ht="34.5" x14ac:dyDescent="0.25">
      <c r="A16" s="2" t="s">
        <v>28</v>
      </c>
      <c r="B16" s="2" t="s">
        <v>17</v>
      </c>
      <c r="C16" s="2" t="s">
        <v>18</v>
      </c>
      <c r="D16" s="3">
        <v>43000</v>
      </c>
      <c r="E16" s="4">
        <v>45102</v>
      </c>
    </row>
    <row r="17" spans="1:5" ht="51.75" x14ac:dyDescent="0.25">
      <c r="A17" s="2" t="s">
        <v>29</v>
      </c>
      <c r="B17" s="2" t="s">
        <v>6</v>
      </c>
      <c r="C17" s="2" t="s">
        <v>7</v>
      </c>
      <c r="D17" s="3">
        <v>43300</v>
      </c>
      <c r="E17" s="4">
        <v>44573</v>
      </c>
    </row>
    <row r="18" spans="1:5" ht="34.5" x14ac:dyDescent="0.25">
      <c r="A18" s="2" t="s">
        <v>30</v>
      </c>
      <c r="B18" s="5" t="s">
        <v>9</v>
      </c>
      <c r="C18" s="5" t="s">
        <v>10</v>
      </c>
      <c r="D18" s="6">
        <v>43600</v>
      </c>
      <c r="E18" s="7">
        <v>44260</v>
      </c>
    </row>
    <row r="19" spans="1:5" ht="34.5" x14ac:dyDescent="0.25">
      <c r="A19" s="2" t="s">
        <v>31</v>
      </c>
      <c r="B19" s="2" t="s">
        <v>12</v>
      </c>
      <c r="C19" s="2" t="s">
        <v>13</v>
      </c>
      <c r="D19" s="3">
        <v>43900</v>
      </c>
      <c r="E19" s="4">
        <v>44030</v>
      </c>
    </row>
    <row r="20" spans="1:5" ht="34.5" x14ac:dyDescent="0.25">
      <c r="A20" s="2" t="s">
        <v>32</v>
      </c>
      <c r="B20" s="5" t="s">
        <v>15</v>
      </c>
      <c r="C20" s="5" t="s">
        <v>10</v>
      </c>
      <c r="D20" s="6">
        <v>44200</v>
      </c>
      <c r="E20" s="7">
        <v>43779</v>
      </c>
    </row>
    <row r="21" spans="1:5" ht="34.5" x14ac:dyDescent="0.25">
      <c r="A21" s="2" t="s">
        <v>33</v>
      </c>
      <c r="B21" s="2" t="s">
        <v>17</v>
      </c>
      <c r="C21" s="2" t="s">
        <v>18</v>
      </c>
      <c r="D21" s="3">
        <v>44500</v>
      </c>
      <c r="E21" s="4">
        <v>45102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293C-5E74-48C6-9B07-49EBD1F8E445}">
  <dimension ref="A1:I23"/>
  <sheetViews>
    <sheetView workbookViewId="0">
      <selection activeCell="E3" sqref="E3"/>
    </sheetView>
  </sheetViews>
  <sheetFormatPr defaultRowHeight="15" x14ac:dyDescent="0.25"/>
  <cols>
    <col min="3" max="3" width="16.140625" bestFit="1" customWidth="1"/>
  </cols>
  <sheetData>
    <row r="1" spans="1:9" x14ac:dyDescent="0.25">
      <c r="A1" s="24" t="s">
        <v>54</v>
      </c>
      <c r="B1" s="25"/>
      <c r="C1" s="25"/>
      <c r="D1" s="25"/>
    </row>
    <row r="2" spans="1:9" ht="15.75" thickBot="1" x14ac:dyDescent="0.3">
      <c r="A2" s="26"/>
      <c r="B2" s="26"/>
      <c r="C2" s="26"/>
      <c r="D2" s="26"/>
    </row>
    <row r="3" spans="1:9" ht="52.5" thickBot="1" x14ac:dyDescent="0.3">
      <c r="A3" s="13" t="s">
        <v>34</v>
      </c>
      <c r="B3" s="9" t="s">
        <v>35</v>
      </c>
      <c r="C3" s="9" t="s">
        <v>36</v>
      </c>
      <c r="D3" s="9" t="s">
        <v>37</v>
      </c>
      <c r="I3" s="12"/>
    </row>
    <row r="4" spans="1:9" ht="35.25" thickBot="1" x14ac:dyDescent="0.3">
      <c r="A4" s="14" t="s">
        <v>38</v>
      </c>
      <c r="B4" s="10" t="s">
        <v>39</v>
      </c>
      <c r="C4" s="16">
        <v>45000</v>
      </c>
      <c r="D4" s="10" t="s">
        <v>40</v>
      </c>
    </row>
    <row r="5" spans="1:9" ht="18" thickBot="1" x14ac:dyDescent="0.3">
      <c r="A5" s="15" t="s">
        <v>41</v>
      </c>
      <c r="B5" s="11" t="s">
        <v>42</v>
      </c>
      <c r="C5" s="17">
        <v>1200</v>
      </c>
      <c r="D5" s="11" t="s">
        <v>43</v>
      </c>
    </row>
    <row r="6" spans="1:9" ht="18" thickBot="1" x14ac:dyDescent="0.3">
      <c r="A6" s="14" t="s">
        <v>44</v>
      </c>
      <c r="B6" s="10" t="s">
        <v>45</v>
      </c>
      <c r="C6" s="16">
        <v>18000</v>
      </c>
      <c r="D6" s="10" t="s">
        <v>46</v>
      </c>
    </row>
    <row r="7" spans="1:9" ht="18" thickBot="1" x14ac:dyDescent="0.3">
      <c r="A7" s="15" t="s">
        <v>47</v>
      </c>
      <c r="B7" s="11" t="s">
        <v>48</v>
      </c>
      <c r="C7" s="17">
        <v>62000</v>
      </c>
      <c r="D7" s="11" t="s">
        <v>49</v>
      </c>
    </row>
    <row r="8" spans="1:9" ht="35.25" thickBot="1" x14ac:dyDescent="0.3">
      <c r="A8" s="14" t="s">
        <v>50</v>
      </c>
      <c r="B8" s="10" t="s">
        <v>39</v>
      </c>
      <c r="C8" s="16">
        <v>48500</v>
      </c>
      <c r="D8" s="10" t="s">
        <v>40</v>
      </c>
    </row>
    <row r="9" spans="1:9" ht="18" thickBot="1" x14ac:dyDescent="0.3">
      <c r="A9" s="15" t="s">
        <v>41</v>
      </c>
      <c r="B9" s="11" t="s">
        <v>42</v>
      </c>
      <c r="C9" s="17">
        <v>55280</v>
      </c>
      <c r="D9" s="11" t="s">
        <v>43</v>
      </c>
    </row>
    <row r="10" spans="1:9" ht="18" thickBot="1" x14ac:dyDescent="0.3">
      <c r="A10" s="14" t="s">
        <v>44</v>
      </c>
      <c r="B10" s="10" t="s">
        <v>45</v>
      </c>
      <c r="C10" s="16">
        <v>62060</v>
      </c>
      <c r="D10" s="10" t="s">
        <v>46</v>
      </c>
    </row>
    <row r="11" spans="1:9" ht="18" thickBot="1" x14ac:dyDescent="0.3">
      <c r="A11" s="15" t="s">
        <v>47</v>
      </c>
      <c r="B11" s="11" t="s">
        <v>48</v>
      </c>
      <c r="C11" s="17">
        <v>68840</v>
      </c>
      <c r="D11" s="11" t="s">
        <v>49</v>
      </c>
    </row>
    <row r="12" spans="1:9" ht="35.25" thickBot="1" x14ac:dyDescent="0.3">
      <c r="A12" s="14" t="s">
        <v>51</v>
      </c>
      <c r="B12" s="10" t="s">
        <v>39</v>
      </c>
      <c r="C12" s="16">
        <v>75620</v>
      </c>
      <c r="D12" s="10" t="s">
        <v>40</v>
      </c>
    </row>
    <row r="13" spans="1:9" ht="18" thickBot="1" x14ac:dyDescent="0.3">
      <c r="A13" s="15" t="s">
        <v>41</v>
      </c>
      <c r="B13" s="11" t="s">
        <v>42</v>
      </c>
      <c r="C13" s="17">
        <v>82400</v>
      </c>
      <c r="D13" s="11" t="s">
        <v>43</v>
      </c>
    </row>
    <row r="14" spans="1:9" ht="18" thickBot="1" x14ac:dyDescent="0.3">
      <c r="A14" s="14" t="s">
        <v>44</v>
      </c>
      <c r="B14" s="10" t="s">
        <v>45</v>
      </c>
      <c r="C14" s="16">
        <v>89180</v>
      </c>
      <c r="D14" s="10" t="s">
        <v>46</v>
      </c>
    </row>
    <row r="15" spans="1:9" ht="18" thickBot="1" x14ac:dyDescent="0.3">
      <c r="A15" s="15" t="s">
        <v>47</v>
      </c>
      <c r="B15" s="11" t="s">
        <v>48</v>
      </c>
      <c r="C15" s="17">
        <v>95960</v>
      </c>
      <c r="D15" s="11" t="s">
        <v>49</v>
      </c>
    </row>
    <row r="16" spans="1:9" ht="35.25" thickBot="1" x14ac:dyDescent="0.3">
      <c r="A16" s="14" t="s">
        <v>52</v>
      </c>
      <c r="B16" s="10" t="s">
        <v>39</v>
      </c>
      <c r="C16" s="16">
        <v>102740</v>
      </c>
      <c r="D16" s="10" t="s">
        <v>40</v>
      </c>
    </row>
    <row r="17" spans="1:4" ht="18" thickBot="1" x14ac:dyDescent="0.3">
      <c r="A17" s="15" t="s">
        <v>41</v>
      </c>
      <c r="B17" s="11" t="s">
        <v>42</v>
      </c>
      <c r="C17" s="17">
        <v>109520</v>
      </c>
      <c r="D17" s="11" t="s">
        <v>43</v>
      </c>
    </row>
    <row r="18" spans="1:4" ht="18" thickBot="1" x14ac:dyDescent="0.3">
      <c r="A18" s="14" t="s">
        <v>44</v>
      </c>
      <c r="B18" s="10" t="s">
        <v>45</v>
      </c>
      <c r="C18" s="16">
        <v>116300</v>
      </c>
      <c r="D18" s="10" t="s">
        <v>46</v>
      </c>
    </row>
    <row r="19" spans="1:4" ht="18" thickBot="1" x14ac:dyDescent="0.3">
      <c r="A19" s="15" t="s">
        <v>47</v>
      </c>
      <c r="B19" s="11" t="s">
        <v>48</v>
      </c>
      <c r="C19" s="17">
        <v>123080</v>
      </c>
      <c r="D19" s="11" t="s">
        <v>49</v>
      </c>
    </row>
    <row r="20" spans="1:4" ht="35.25" thickBot="1" x14ac:dyDescent="0.3">
      <c r="A20" s="14" t="s">
        <v>53</v>
      </c>
      <c r="B20" s="10" t="s">
        <v>39</v>
      </c>
      <c r="C20" s="16">
        <v>129860</v>
      </c>
      <c r="D20" s="10" t="s">
        <v>40</v>
      </c>
    </row>
    <row r="21" spans="1:4" ht="18" thickBot="1" x14ac:dyDescent="0.3">
      <c r="A21" s="15" t="s">
        <v>41</v>
      </c>
      <c r="B21" s="11" t="s">
        <v>42</v>
      </c>
      <c r="C21" s="17">
        <v>136640</v>
      </c>
      <c r="D21" s="11" t="s">
        <v>43</v>
      </c>
    </row>
    <row r="22" spans="1:4" ht="18" thickBot="1" x14ac:dyDescent="0.3">
      <c r="A22" s="14" t="s">
        <v>44</v>
      </c>
      <c r="B22" s="10" t="s">
        <v>45</v>
      </c>
      <c r="C22" s="16">
        <v>143420</v>
      </c>
      <c r="D22" s="10" t="s">
        <v>46</v>
      </c>
    </row>
    <row r="23" spans="1:4" ht="18" thickBot="1" x14ac:dyDescent="0.3">
      <c r="A23" s="14" t="s">
        <v>44</v>
      </c>
      <c r="B23" s="11" t="s">
        <v>48</v>
      </c>
      <c r="C23" s="17">
        <v>150200</v>
      </c>
      <c r="D23" s="11" t="s">
        <v>49</v>
      </c>
    </row>
  </sheetData>
  <mergeCells count="1">
    <mergeCell ref="A1:D2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0C02-41AF-4EDB-903F-BB247517677B}">
  <dimension ref="A1:F21"/>
  <sheetViews>
    <sheetView topLeftCell="A14" workbookViewId="0">
      <selection activeCell="P19" sqref="P19"/>
    </sheetView>
  </sheetViews>
  <sheetFormatPr defaultRowHeight="15" x14ac:dyDescent="0.25"/>
  <cols>
    <col min="6" max="6" width="9.5703125" bestFit="1" customWidth="1"/>
  </cols>
  <sheetData>
    <row r="1" spans="1:6" ht="30.75" thickBot="1" x14ac:dyDescent="0.3">
      <c r="A1" s="20" t="s">
        <v>55</v>
      </c>
      <c r="B1" s="20" t="s">
        <v>56</v>
      </c>
      <c r="C1" s="20" t="s">
        <v>57</v>
      </c>
      <c r="D1" s="20" t="s">
        <v>58</v>
      </c>
      <c r="E1" s="20" t="s">
        <v>59</v>
      </c>
      <c r="F1" s="20" t="s">
        <v>60</v>
      </c>
    </row>
    <row r="2" spans="1:6" ht="35.25" thickBot="1" x14ac:dyDescent="0.3">
      <c r="A2" s="10">
        <v>1</v>
      </c>
      <c r="B2" s="10" t="s">
        <v>61</v>
      </c>
      <c r="C2" s="10">
        <v>78</v>
      </c>
      <c r="D2" s="10">
        <v>82</v>
      </c>
      <c r="E2" s="10">
        <v>74</v>
      </c>
      <c r="F2" s="18">
        <f>AVERAGE(C2:E2)</f>
        <v>78</v>
      </c>
    </row>
    <row r="3" spans="1:6" ht="35.25" thickBot="1" x14ac:dyDescent="0.3">
      <c r="A3" s="11">
        <v>2</v>
      </c>
      <c r="B3" s="11" t="s">
        <v>62</v>
      </c>
      <c r="C3" s="11">
        <v>65</v>
      </c>
      <c r="D3" s="11">
        <v>70</v>
      </c>
      <c r="E3" s="11">
        <v>68</v>
      </c>
      <c r="F3" s="18">
        <f t="shared" ref="F3:F6" si="0">AVERAGE(C3:E3)</f>
        <v>67.666666666666671</v>
      </c>
    </row>
    <row r="4" spans="1:6" ht="18" thickBot="1" x14ac:dyDescent="0.3">
      <c r="A4" s="10">
        <v>3</v>
      </c>
      <c r="B4" s="10" t="s">
        <v>63</v>
      </c>
      <c r="C4" s="10">
        <v>90</v>
      </c>
      <c r="D4" s="10">
        <v>88</v>
      </c>
      <c r="E4" s="10">
        <v>92</v>
      </c>
      <c r="F4" s="18">
        <f t="shared" si="0"/>
        <v>90</v>
      </c>
    </row>
    <row r="5" spans="1:6" ht="18" thickBot="1" x14ac:dyDescent="0.3">
      <c r="A5" s="11">
        <v>4</v>
      </c>
      <c r="B5" s="11" t="s">
        <v>64</v>
      </c>
      <c r="C5" s="11">
        <v>35</v>
      </c>
      <c r="D5" s="11">
        <v>40</v>
      </c>
      <c r="E5" s="11">
        <v>38</v>
      </c>
      <c r="F5" s="18">
        <f t="shared" si="0"/>
        <v>37.666666666666664</v>
      </c>
    </row>
    <row r="6" spans="1:6" ht="18" thickBot="1" x14ac:dyDescent="0.3">
      <c r="A6" s="10">
        <v>5</v>
      </c>
      <c r="B6" s="10" t="s">
        <v>65</v>
      </c>
      <c r="C6" s="10">
        <v>55</v>
      </c>
      <c r="D6" s="10">
        <v>60</v>
      </c>
      <c r="E6" s="10">
        <v>58</v>
      </c>
      <c r="F6" s="18">
        <f t="shared" si="0"/>
        <v>57.666666666666664</v>
      </c>
    </row>
    <row r="7" spans="1:6" ht="35.25" thickBot="1" x14ac:dyDescent="0.3">
      <c r="A7" s="10">
        <v>6</v>
      </c>
      <c r="B7" s="10" t="s">
        <v>61</v>
      </c>
      <c r="C7">
        <f ca="1">RANDBETWEEN(40,100)</f>
        <v>54</v>
      </c>
      <c r="D7">
        <f t="shared" ref="D7:E21" ca="1" si="1">RANDBETWEEN(40,100)</f>
        <v>45</v>
      </c>
      <c r="E7">
        <f t="shared" ca="1" si="1"/>
        <v>77</v>
      </c>
      <c r="F7" s="19">
        <f ca="1">AVERAGE(C7:E7)</f>
        <v>58.666666666666664</v>
      </c>
    </row>
    <row r="8" spans="1:6" ht="35.25" thickBot="1" x14ac:dyDescent="0.3">
      <c r="A8" s="11">
        <v>7</v>
      </c>
      <c r="B8" s="11" t="s">
        <v>62</v>
      </c>
      <c r="C8">
        <f t="shared" ref="C8:C21" ca="1" si="2">RANDBETWEEN(40,100)</f>
        <v>92</v>
      </c>
      <c r="D8">
        <f t="shared" ca="1" si="1"/>
        <v>47</v>
      </c>
      <c r="E8">
        <f t="shared" ca="1" si="1"/>
        <v>48</v>
      </c>
      <c r="F8" s="19">
        <f t="shared" ref="F8:F21" ca="1" si="3">AVERAGE(C8:E8)</f>
        <v>62.333333333333336</v>
      </c>
    </row>
    <row r="9" spans="1:6" ht="18" thickBot="1" x14ac:dyDescent="0.3">
      <c r="A9" s="10">
        <v>8</v>
      </c>
      <c r="B9" s="10" t="s">
        <v>63</v>
      </c>
      <c r="C9">
        <f t="shared" ca="1" si="2"/>
        <v>49</v>
      </c>
      <c r="D9">
        <f t="shared" ca="1" si="1"/>
        <v>81</v>
      </c>
      <c r="E9">
        <f t="shared" ca="1" si="1"/>
        <v>80</v>
      </c>
      <c r="F9" s="19">
        <f t="shared" ca="1" si="3"/>
        <v>70</v>
      </c>
    </row>
    <row r="10" spans="1:6" ht="18" thickBot="1" x14ac:dyDescent="0.3">
      <c r="A10" s="11">
        <v>9</v>
      </c>
      <c r="B10" s="11" t="s">
        <v>64</v>
      </c>
      <c r="C10">
        <f t="shared" ca="1" si="2"/>
        <v>84</v>
      </c>
      <c r="D10">
        <f t="shared" ca="1" si="1"/>
        <v>62</v>
      </c>
      <c r="E10">
        <f t="shared" ca="1" si="1"/>
        <v>74</v>
      </c>
      <c r="F10" s="19">
        <f t="shared" ca="1" si="3"/>
        <v>73.333333333333329</v>
      </c>
    </row>
    <row r="11" spans="1:6" ht="18" thickBot="1" x14ac:dyDescent="0.3">
      <c r="A11" s="10">
        <v>10</v>
      </c>
      <c r="B11" s="10" t="s">
        <v>65</v>
      </c>
      <c r="C11">
        <f t="shared" ca="1" si="2"/>
        <v>91</v>
      </c>
      <c r="D11">
        <f t="shared" ca="1" si="1"/>
        <v>52</v>
      </c>
      <c r="E11">
        <f t="shared" ca="1" si="1"/>
        <v>93</v>
      </c>
      <c r="F11" s="19">
        <f t="shared" ca="1" si="3"/>
        <v>78.666666666666671</v>
      </c>
    </row>
    <row r="12" spans="1:6" ht="35.25" thickBot="1" x14ac:dyDescent="0.3">
      <c r="A12" s="10">
        <v>11</v>
      </c>
      <c r="B12" s="10" t="s">
        <v>61</v>
      </c>
      <c r="C12">
        <f t="shared" ca="1" si="2"/>
        <v>100</v>
      </c>
      <c r="D12">
        <f t="shared" ca="1" si="1"/>
        <v>93</v>
      </c>
      <c r="E12">
        <f t="shared" ca="1" si="1"/>
        <v>79</v>
      </c>
      <c r="F12" s="19">
        <f t="shared" ca="1" si="3"/>
        <v>90.666666666666671</v>
      </c>
    </row>
    <row r="13" spans="1:6" ht="35.25" thickBot="1" x14ac:dyDescent="0.3">
      <c r="A13" s="11">
        <v>12</v>
      </c>
      <c r="B13" s="11" t="s">
        <v>62</v>
      </c>
      <c r="C13">
        <f t="shared" ca="1" si="2"/>
        <v>41</v>
      </c>
      <c r="D13">
        <f t="shared" ca="1" si="1"/>
        <v>55</v>
      </c>
      <c r="E13">
        <f t="shared" ca="1" si="1"/>
        <v>68</v>
      </c>
      <c r="F13" s="19">
        <f t="shared" ca="1" si="3"/>
        <v>54.666666666666664</v>
      </c>
    </row>
    <row r="14" spans="1:6" ht="18" thickBot="1" x14ac:dyDescent="0.3">
      <c r="A14" s="10">
        <v>13</v>
      </c>
      <c r="B14" s="10" t="s">
        <v>63</v>
      </c>
      <c r="C14">
        <f t="shared" ca="1" si="2"/>
        <v>95</v>
      </c>
      <c r="D14">
        <f t="shared" ca="1" si="1"/>
        <v>71</v>
      </c>
      <c r="E14">
        <f t="shared" ca="1" si="1"/>
        <v>99</v>
      </c>
      <c r="F14" s="19">
        <f t="shared" ca="1" si="3"/>
        <v>88.333333333333329</v>
      </c>
    </row>
    <row r="15" spans="1:6" ht="18" thickBot="1" x14ac:dyDescent="0.3">
      <c r="A15" s="11">
        <v>14</v>
      </c>
      <c r="B15" s="11" t="s">
        <v>64</v>
      </c>
      <c r="C15">
        <f t="shared" ca="1" si="2"/>
        <v>55</v>
      </c>
      <c r="D15">
        <f t="shared" ca="1" si="1"/>
        <v>75</v>
      </c>
      <c r="E15">
        <f t="shared" ca="1" si="1"/>
        <v>68</v>
      </c>
      <c r="F15" s="19">
        <f t="shared" ca="1" si="3"/>
        <v>66</v>
      </c>
    </row>
    <row r="16" spans="1:6" ht="18" thickBot="1" x14ac:dyDescent="0.3">
      <c r="A16" s="10">
        <v>15</v>
      </c>
      <c r="B16" s="10" t="s">
        <v>65</v>
      </c>
      <c r="C16">
        <f t="shared" ca="1" si="2"/>
        <v>57</v>
      </c>
      <c r="D16">
        <f t="shared" ca="1" si="1"/>
        <v>57</v>
      </c>
      <c r="E16">
        <f t="shared" ca="1" si="1"/>
        <v>100</v>
      </c>
      <c r="F16" s="19">
        <f t="shared" ca="1" si="3"/>
        <v>71.333333333333329</v>
      </c>
    </row>
    <row r="17" spans="1:6" ht="35.25" thickBot="1" x14ac:dyDescent="0.3">
      <c r="A17" s="10">
        <v>16</v>
      </c>
      <c r="B17" s="10" t="s">
        <v>61</v>
      </c>
      <c r="C17">
        <f t="shared" ca="1" si="2"/>
        <v>82</v>
      </c>
      <c r="D17">
        <f t="shared" ca="1" si="1"/>
        <v>91</v>
      </c>
      <c r="E17">
        <f t="shared" ca="1" si="1"/>
        <v>64</v>
      </c>
      <c r="F17" s="19">
        <f t="shared" ca="1" si="3"/>
        <v>79</v>
      </c>
    </row>
    <row r="18" spans="1:6" ht="35.25" thickBot="1" x14ac:dyDescent="0.3">
      <c r="A18" s="11">
        <v>17</v>
      </c>
      <c r="B18" s="11" t="s">
        <v>62</v>
      </c>
      <c r="C18">
        <f t="shared" ca="1" si="2"/>
        <v>66</v>
      </c>
      <c r="D18">
        <f t="shared" ca="1" si="1"/>
        <v>54</v>
      </c>
      <c r="E18">
        <f t="shared" ca="1" si="1"/>
        <v>76</v>
      </c>
      <c r="F18" s="19">
        <f t="shared" ca="1" si="3"/>
        <v>65.333333333333329</v>
      </c>
    </row>
    <row r="19" spans="1:6" ht="18" thickBot="1" x14ac:dyDescent="0.3">
      <c r="A19" s="10">
        <v>18</v>
      </c>
      <c r="B19" s="10" t="s">
        <v>63</v>
      </c>
      <c r="C19">
        <f t="shared" ca="1" si="2"/>
        <v>80</v>
      </c>
      <c r="D19">
        <f t="shared" ca="1" si="1"/>
        <v>43</v>
      </c>
      <c r="E19">
        <f t="shared" ca="1" si="1"/>
        <v>79</v>
      </c>
      <c r="F19" s="19">
        <f t="shared" ca="1" si="3"/>
        <v>67.333333333333329</v>
      </c>
    </row>
    <row r="20" spans="1:6" ht="18" thickBot="1" x14ac:dyDescent="0.3">
      <c r="A20" s="11">
        <v>19</v>
      </c>
      <c r="B20" s="11" t="s">
        <v>64</v>
      </c>
      <c r="C20">
        <f t="shared" ca="1" si="2"/>
        <v>64</v>
      </c>
      <c r="D20">
        <f t="shared" ca="1" si="1"/>
        <v>51</v>
      </c>
      <c r="E20">
        <f t="shared" ca="1" si="1"/>
        <v>91</v>
      </c>
      <c r="F20" s="19">
        <f t="shared" ca="1" si="3"/>
        <v>68.666666666666671</v>
      </c>
    </row>
    <row r="21" spans="1:6" ht="18" thickBot="1" x14ac:dyDescent="0.3">
      <c r="A21" s="10">
        <v>20</v>
      </c>
      <c r="B21" s="10" t="s">
        <v>65</v>
      </c>
      <c r="C21">
        <f t="shared" ca="1" si="2"/>
        <v>61</v>
      </c>
      <c r="D21">
        <f t="shared" ca="1" si="1"/>
        <v>69</v>
      </c>
      <c r="E21">
        <f t="shared" ca="1" si="1"/>
        <v>61</v>
      </c>
      <c r="F21" s="19">
        <f ca="1">AVERAGE(C21:E21)</f>
        <v>63.666666666666664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FA08-3BA2-40E0-8D83-E0F4D48DC613}">
  <dimension ref="A1:C23"/>
  <sheetViews>
    <sheetView topLeftCell="A14" workbookViewId="0">
      <selection activeCell="L18" sqref="L18"/>
    </sheetView>
  </sheetViews>
  <sheetFormatPr defaultRowHeight="15" x14ac:dyDescent="0.25"/>
  <cols>
    <col min="2" max="2" width="14.7109375" bestFit="1" customWidth="1"/>
    <col min="3" max="3" width="10.7109375" bestFit="1" customWidth="1"/>
  </cols>
  <sheetData>
    <row r="1" spans="1:3" ht="35.25" thickBot="1" x14ac:dyDescent="0.3">
      <c r="A1" s="9" t="s">
        <v>66</v>
      </c>
      <c r="B1" s="9" t="s">
        <v>67</v>
      </c>
      <c r="C1" s="9" t="s">
        <v>36</v>
      </c>
    </row>
    <row r="2" spans="1:3" ht="35.25" thickBot="1" x14ac:dyDescent="0.3">
      <c r="A2" s="10" t="s">
        <v>68</v>
      </c>
      <c r="B2" s="21">
        <v>45292</v>
      </c>
      <c r="C2" s="10">
        <v>12000</v>
      </c>
    </row>
    <row r="3" spans="1:3" ht="35.25" thickBot="1" x14ac:dyDescent="0.3">
      <c r="A3" s="11" t="s">
        <v>69</v>
      </c>
      <c r="B3" s="22">
        <v>45294</v>
      </c>
      <c r="C3" s="11">
        <v>25000</v>
      </c>
    </row>
    <row r="4" spans="1:3" ht="35.25" thickBot="1" x14ac:dyDescent="0.3">
      <c r="A4" s="10" t="s">
        <v>70</v>
      </c>
      <c r="B4" s="21">
        <v>45296</v>
      </c>
      <c r="C4" s="10">
        <v>8000</v>
      </c>
    </row>
    <row r="5" spans="1:3" ht="35.25" thickBot="1" x14ac:dyDescent="0.3">
      <c r="A5" s="11" t="s">
        <v>71</v>
      </c>
      <c r="B5" s="22">
        <v>45299</v>
      </c>
      <c r="C5" s="11">
        <v>32000</v>
      </c>
    </row>
    <row r="6" spans="1:3" ht="35.25" thickBot="1" x14ac:dyDescent="0.3">
      <c r="A6" s="10" t="s">
        <v>72</v>
      </c>
      <c r="B6" s="21">
        <v>45301</v>
      </c>
      <c r="C6" s="10">
        <v>15000</v>
      </c>
    </row>
    <row r="7" spans="1:3" ht="35.25" thickBot="1" x14ac:dyDescent="0.3">
      <c r="A7" s="10" t="s">
        <v>73</v>
      </c>
      <c r="B7" s="21">
        <v>45292</v>
      </c>
      <c r="C7">
        <f ca="1">RANDBETWEEN(5000,50000)</f>
        <v>13395</v>
      </c>
    </row>
    <row r="8" spans="1:3" ht="35.25" thickBot="1" x14ac:dyDescent="0.3">
      <c r="A8" s="11" t="s">
        <v>74</v>
      </c>
      <c r="B8" s="22">
        <v>45294</v>
      </c>
      <c r="C8">
        <f t="shared" ref="C8:C21" ca="1" si="0">RANDBETWEEN(5000,50000)</f>
        <v>27032</v>
      </c>
    </row>
    <row r="9" spans="1:3" ht="35.25" thickBot="1" x14ac:dyDescent="0.3">
      <c r="A9" s="10" t="s">
        <v>75</v>
      </c>
      <c r="B9" s="21">
        <v>45296</v>
      </c>
      <c r="C9">
        <f t="shared" ca="1" si="0"/>
        <v>38307</v>
      </c>
    </row>
    <row r="10" spans="1:3" ht="35.25" thickBot="1" x14ac:dyDescent="0.3">
      <c r="A10" s="11" t="s">
        <v>76</v>
      </c>
      <c r="B10" s="22">
        <v>45299</v>
      </c>
      <c r="C10">
        <f t="shared" ca="1" si="0"/>
        <v>48601</v>
      </c>
    </row>
    <row r="11" spans="1:3" ht="35.25" thickBot="1" x14ac:dyDescent="0.3">
      <c r="A11" s="10" t="s">
        <v>77</v>
      </c>
      <c r="B11" s="21">
        <v>45301</v>
      </c>
      <c r="C11">
        <f t="shared" ca="1" si="0"/>
        <v>18413</v>
      </c>
    </row>
    <row r="12" spans="1:3" ht="35.25" thickBot="1" x14ac:dyDescent="0.3">
      <c r="A12" s="10" t="s">
        <v>78</v>
      </c>
      <c r="B12" s="21">
        <v>45292</v>
      </c>
      <c r="C12">
        <f t="shared" ca="1" si="0"/>
        <v>5515</v>
      </c>
    </row>
    <row r="13" spans="1:3" ht="35.25" thickBot="1" x14ac:dyDescent="0.3">
      <c r="A13" s="11" t="s">
        <v>79</v>
      </c>
      <c r="B13" s="22">
        <v>45294</v>
      </c>
      <c r="C13">
        <f t="shared" ca="1" si="0"/>
        <v>5321</v>
      </c>
    </row>
    <row r="14" spans="1:3" ht="35.25" thickBot="1" x14ac:dyDescent="0.3">
      <c r="A14" s="10" t="s">
        <v>80</v>
      </c>
      <c r="B14" s="21">
        <v>45296</v>
      </c>
      <c r="C14">
        <f t="shared" ca="1" si="0"/>
        <v>5562</v>
      </c>
    </row>
    <row r="15" spans="1:3" ht="35.25" thickBot="1" x14ac:dyDescent="0.3">
      <c r="A15" s="11" t="s">
        <v>81</v>
      </c>
      <c r="B15" s="22">
        <v>45299</v>
      </c>
      <c r="C15">
        <f t="shared" ca="1" si="0"/>
        <v>47276</v>
      </c>
    </row>
    <row r="16" spans="1:3" ht="35.25" thickBot="1" x14ac:dyDescent="0.3">
      <c r="A16" s="10" t="s">
        <v>82</v>
      </c>
      <c r="B16" s="21">
        <v>45301</v>
      </c>
      <c r="C16">
        <f t="shared" ca="1" si="0"/>
        <v>32808</v>
      </c>
    </row>
    <row r="17" spans="1:3" ht="35.25" thickBot="1" x14ac:dyDescent="0.3">
      <c r="A17" s="10" t="s">
        <v>83</v>
      </c>
      <c r="B17" s="21">
        <v>45292</v>
      </c>
      <c r="C17">
        <f t="shared" ca="1" si="0"/>
        <v>25182</v>
      </c>
    </row>
    <row r="18" spans="1:3" ht="35.25" thickBot="1" x14ac:dyDescent="0.3">
      <c r="A18" s="11" t="s">
        <v>84</v>
      </c>
      <c r="B18" s="22">
        <v>45294</v>
      </c>
      <c r="C18">
        <f t="shared" ca="1" si="0"/>
        <v>46561</v>
      </c>
    </row>
    <row r="19" spans="1:3" ht="35.25" thickBot="1" x14ac:dyDescent="0.3">
      <c r="A19" s="10" t="s">
        <v>85</v>
      </c>
      <c r="B19" s="21">
        <v>45296</v>
      </c>
      <c r="C19">
        <f t="shared" ca="1" si="0"/>
        <v>30471</v>
      </c>
    </row>
    <row r="20" spans="1:3" ht="35.25" thickBot="1" x14ac:dyDescent="0.3">
      <c r="A20" s="11" t="s">
        <v>86</v>
      </c>
      <c r="B20" s="22">
        <v>45299</v>
      </c>
      <c r="C20">
        <f t="shared" ca="1" si="0"/>
        <v>15916</v>
      </c>
    </row>
    <row r="21" spans="1:3" ht="35.25" thickBot="1" x14ac:dyDescent="0.3">
      <c r="A21" s="10" t="s">
        <v>87</v>
      </c>
      <c r="B21" s="21">
        <v>45301</v>
      </c>
      <c r="C21">
        <f t="shared" ca="1" si="0"/>
        <v>26777</v>
      </c>
    </row>
    <row r="22" spans="1:3" ht="21" x14ac:dyDescent="0.35">
      <c r="B22" t="s">
        <v>88</v>
      </c>
      <c r="C22" s="23">
        <f ca="1">SUM(C2:C21)</f>
        <v>479137</v>
      </c>
    </row>
    <row r="23" spans="1:3" x14ac:dyDescent="0.25">
      <c r="B23" t="s">
        <v>89</v>
      </c>
      <c r="C23">
        <f ca="1">AVERAGE(C2:C21)</f>
        <v>23956.85</v>
      </c>
    </row>
  </sheetData>
  <phoneticPr fontId="2" type="noConversion"/>
  <conditionalFormatting sqref="C2:C21">
    <cfRule type="top10" dxfId="12" priority="1" bottom="1" rank="10"/>
    <cfRule type="top10" dxfId="11" priority="2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7525-6797-4A20-8B17-6075245BD4EE}">
  <dimension ref="A1:N23"/>
  <sheetViews>
    <sheetView topLeftCell="A3" zoomScale="98" zoomScaleNormal="130" workbookViewId="0">
      <selection activeCell="F3" sqref="F3:N3"/>
    </sheetView>
  </sheetViews>
  <sheetFormatPr defaultRowHeight="15" x14ac:dyDescent="0.25"/>
  <sheetData>
    <row r="1" spans="1:14" ht="52.5" thickBot="1" x14ac:dyDescent="0.3">
      <c r="A1" s="27" t="s">
        <v>90</v>
      </c>
      <c r="B1" s="27" t="s">
        <v>2</v>
      </c>
      <c r="C1" s="27" t="s">
        <v>3</v>
      </c>
    </row>
    <row r="2" spans="1:14" ht="35.25" thickBot="1" x14ac:dyDescent="0.3">
      <c r="A2" s="10" t="s">
        <v>91</v>
      </c>
      <c r="B2" s="10" t="s">
        <v>7</v>
      </c>
      <c r="C2" s="10">
        <v>28000</v>
      </c>
    </row>
    <row r="3" spans="1:14" ht="35.25" thickBot="1" x14ac:dyDescent="0.5">
      <c r="A3" s="11" t="s">
        <v>92</v>
      </c>
      <c r="B3" s="11" t="s">
        <v>10</v>
      </c>
      <c r="C3" s="11">
        <v>45000</v>
      </c>
      <c r="F3" s="32" t="s">
        <v>133</v>
      </c>
      <c r="G3" s="31"/>
      <c r="H3" s="31"/>
      <c r="I3" s="31"/>
      <c r="J3" s="31"/>
      <c r="K3" s="31"/>
      <c r="L3" s="31"/>
      <c r="M3" s="31"/>
      <c r="N3" s="31"/>
    </row>
    <row r="4" spans="1:14" ht="19.5" thickBot="1" x14ac:dyDescent="0.35">
      <c r="A4" s="10" t="s">
        <v>93</v>
      </c>
      <c r="B4" s="10" t="s">
        <v>10</v>
      </c>
      <c r="C4" s="10">
        <v>50000</v>
      </c>
      <c r="F4" s="34" t="s">
        <v>2</v>
      </c>
      <c r="G4" s="34"/>
      <c r="H4" s="33" t="s">
        <v>134</v>
      </c>
      <c r="I4" s="31"/>
      <c r="J4" s="31"/>
    </row>
    <row r="5" spans="1:14" ht="35.25" thickBot="1" x14ac:dyDescent="0.3">
      <c r="A5" s="11" t="s">
        <v>94</v>
      </c>
      <c r="B5" s="11" t="s">
        <v>13</v>
      </c>
      <c r="C5" s="11">
        <v>42000</v>
      </c>
      <c r="F5" s="31" t="s">
        <v>7</v>
      </c>
      <c r="G5" s="31"/>
      <c r="H5" s="31">
        <f ca="1">SUMIF(B1:B21,B2,C2:C21)</f>
        <v>301777</v>
      </c>
      <c r="I5" s="31"/>
      <c r="J5" s="31"/>
    </row>
    <row r="6" spans="1:14" ht="18" thickBot="1" x14ac:dyDescent="0.3">
      <c r="A6" s="10" t="s">
        <v>95</v>
      </c>
      <c r="B6" s="10" t="s">
        <v>7</v>
      </c>
      <c r="C6" s="10">
        <v>30000</v>
      </c>
      <c r="F6" s="31" t="s">
        <v>10</v>
      </c>
      <c r="G6" s="31"/>
      <c r="H6" s="31">
        <f ca="1">SUMIF(B:B,B3,C:C)</f>
        <v>293957</v>
      </c>
      <c r="I6" s="31"/>
      <c r="J6" s="31"/>
    </row>
    <row r="7" spans="1:14" ht="35.25" thickBot="1" x14ac:dyDescent="0.3">
      <c r="A7" s="11" t="s">
        <v>96</v>
      </c>
      <c r="B7" s="11" t="s">
        <v>13</v>
      </c>
      <c r="C7" s="11">
        <v>38000</v>
      </c>
      <c r="F7" s="31" t="s">
        <v>13</v>
      </c>
      <c r="G7" s="31"/>
      <c r="H7" s="31">
        <f ca="1">SUMIF(B:B,B5,C:C)</f>
        <v>276082</v>
      </c>
      <c r="I7" s="31"/>
      <c r="J7" s="31"/>
    </row>
    <row r="8" spans="1:14" ht="35.25" thickBot="1" x14ac:dyDescent="0.3">
      <c r="A8" s="10" t="s">
        <v>91</v>
      </c>
      <c r="B8" s="10" t="s">
        <v>7</v>
      </c>
      <c r="C8">
        <f ca="1">RANDBETWEEN(30000,60000)</f>
        <v>47343</v>
      </c>
      <c r="F8" s="31" t="s">
        <v>135</v>
      </c>
      <c r="G8" s="31"/>
      <c r="H8">
        <f ca="1">AVERAGE(C2:C21)</f>
        <v>42347</v>
      </c>
    </row>
    <row r="9" spans="1:14" ht="35.25" thickBot="1" x14ac:dyDescent="0.3">
      <c r="A9" s="11" t="s">
        <v>92</v>
      </c>
      <c r="B9" s="11" t="s">
        <v>10</v>
      </c>
      <c r="C9">
        <f t="shared" ref="C9:C21" ca="1" si="0">RANDBETWEEN(30000,60000)</f>
        <v>31718</v>
      </c>
      <c r="F9" s="31" t="s">
        <v>136</v>
      </c>
      <c r="G9" s="31"/>
      <c r="H9">
        <f ca="1">COUNT(C2:C21)</f>
        <v>20</v>
      </c>
    </row>
    <row r="10" spans="1:14" ht="18" thickBot="1" x14ac:dyDescent="0.3">
      <c r="A10" s="10" t="s">
        <v>93</v>
      </c>
      <c r="B10" s="10" t="s">
        <v>10</v>
      </c>
      <c r="C10">
        <f t="shared" ca="1" si="0"/>
        <v>36774</v>
      </c>
    </row>
    <row r="11" spans="1:14" ht="35.25" thickBot="1" x14ac:dyDescent="0.3">
      <c r="A11" s="11" t="s">
        <v>94</v>
      </c>
      <c r="B11" s="11" t="s">
        <v>13</v>
      </c>
      <c r="C11">
        <f t="shared" ca="1" si="0"/>
        <v>56709</v>
      </c>
    </row>
    <row r="12" spans="1:14" ht="18" thickBot="1" x14ac:dyDescent="0.3">
      <c r="A12" s="10" t="s">
        <v>95</v>
      </c>
      <c r="B12" s="10" t="s">
        <v>7</v>
      </c>
      <c r="C12">
        <f t="shared" ca="1" si="0"/>
        <v>34943</v>
      </c>
    </row>
    <row r="13" spans="1:14" ht="35.25" thickBot="1" x14ac:dyDescent="0.3">
      <c r="A13" s="11" t="s">
        <v>96</v>
      </c>
      <c r="B13" s="11" t="s">
        <v>13</v>
      </c>
      <c r="C13">
        <f t="shared" ca="1" si="0"/>
        <v>44174</v>
      </c>
    </row>
    <row r="14" spans="1:14" ht="35.25" thickBot="1" x14ac:dyDescent="0.3">
      <c r="A14" s="10" t="s">
        <v>91</v>
      </c>
      <c r="B14" s="10" t="s">
        <v>7</v>
      </c>
      <c r="C14">
        <f t="shared" ca="1" si="0"/>
        <v>57353</v>
      </c>
    </row>
    <row r="15" spans="1:14" ht="35.25" thickBot="1" x14ac:dyDescent="0.3">
      <c r="A15" s="11" t="s">
        <v>92</v>
      </c>
      <c r="B15" s="11" t="s">
        <v>10</v>
      </c>
      <c r="C15">
        <f t="shared" ca="1" si="0"/>
        <v>49934</v>
      </c>
    </row>
    <row r="16" spans="1:14" ht="18" thickBot="1" x14ac:dyDescent="0.3">
      <c r="A16" s="10" t="s">
        <v>93</v>
      </c>
      <c r="B16" s="10" t="s">
        <v>10</v>
      </c>
      <c r="C16">
        <f t="shared" ca="1" si="0"/>
        <v>36293</v>
      </c>
    </row>
    <row r="17" spans="1:3" ht="35.25" thickBot="1" x14ac:dyDescent="0.3">
      <c r="A17" s="11" t="s">
        <v>94</v>
      </c>
      <c r="B17" s="11" t="s">
        <v>13</v>
      </c>
      <c r="C17">
        <f t="shared" ca="1" si="0"/>
        <v>46486</v>
      </c>
    </row>
    <row r="18" spans="1:3" ht="18" thickBot="1" x14ac:dyDescent="0.3">
      <c r="A18" s="10" t="s">
        <v>95</v>
      </c>
      <c r="B18" s="10" t="s">
        <v>7</v>
      </c>
      <c r="C18">
        <f t="shared" ca="1" si="0"/>
        <v>40897</v>
      </c>
    </row>
    <row r="19" spans="1:3" ht="35.25" thickBot="1" x14ac:dyDescent="0.3">
      <c r="A19" s="11" t="s">
        <v>96</v>
      </c>
      <c r="B19" s="11" t="s">
        <v>13</v>
      </c>
      <c r="C19">
        <f t="shared" ca="1" si="0"/>
        <v>48713</v>
      </c>
    </row>
    <row r="20" spans="1:3" ht="18" thickBot="1" x14ac:dyDescent="0.3">
      <c r="A20" s="10"/>
      <c r="B20" s="10" t="s">
        <v>7</v>
      </c>
      <c r="C20">
        <f t="shared" ca="1" si="0"/>
        <v>38365</v>
      </c>
    </row>
    <row r="21" spans="1:3" ht="18" thickBot="1" x14ac:dyDescent="0.3">
      <c r="A21" s="11"/>
      <c r="B21" s="11" t="s">
        <v>10</v>
      </c>
      <c r="C21">
        <f t="shared" ca="1" si="0"/>
        <v>44238</v>
      </c>
    </row>
    <row r="22" spans="1:3" ht="17.25" x14ac:dyDescent="0.25">
      <c r="B22" s="28"/>
    </row>
    <row r="23" spans="1:3" ht="17.25" x14ac:dyDescent="0.25">
      <c r="B23" s="29"/>
    </row>
  </sheetData>
  <mergeCells count="11">
    <mergeCell ref="F9:G9"/>
    <mergeCell ref="H4:J4"/>
    <mergeCell ref="H5:J5"/>
    <mergeCell ref="H6:J6"/>
    <mergeCell ref="H7:J7"/>
    <mergeCell ref="F3:N3"/>
    <mergeCell ref="F4:G4"/>
    <mergeCell ref="F5:G5"/>
    <mergeCell ref="F6:G6"/>
    <mergeCell ref="F7:G7"/>
    <mergeCell ref="F8:G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B144-A2B2-4AC2-A8FC-DDE21C1C8534}">
  <dimension ref="A1:K22"/>
  <sheetViews>
    <sheetView workbookViewId="0">
      <selection activeCell="J3" sqref="J3"/>
    </sheetView>
  </sheetViews>
  <sheetFormatPr defaultRowHeight="15" x14ac:dyDescent="0.25"/>
  <sheetData>
    <row r="1" spans="1:11" ht="52.5" thickBot="1" x14ac:dyDescent="0.3">
      <c r="A1" s="27" t="s">
        <v>56</v>
      </c>
      <c r="B1" s="27" t="s">
        <v>97</v>
      </c>
      <c r="C1" s="27" t="s">
        <v>98</v>
      </c>
      <c r="D1" s="27" t="s">
        <v>99</v>
      </c>
      <c r="E1" s="27" t="s">
        <v>100</v>
      </c>
      <c r="F1" s="27" t="s">
        <v>101</v>
      </c>
    </row>
    <row r="2" spans="1:11" ht="52.5" thickBot="1" x14ac:dyDescent="0.35">
      <c r="A2" s="10" t="s">
        <v>61</v>
      </c>
      <c r="B2" s="10" t="s">
        <v>102</v>
      </c>
      <c r="C2" s="10" t="s">
        <v>103</v>
      </c>
      <c r="D2" s="10" t="s">
        <v>102</v>
      </c>
      <c r="E2" s="10" t="s">
        <v>102</v>
      </c>
      <c r="F2" s="10" t="s">
        <v>102</v>
      </c>
      <c r="I2" s="27" t="s">
        <v>56</v>
      </c>
      <c r="J2" s="30" t="s">
        <v>104</v>
      </c>
      <c r="K2" s="30" t="s">
        <v>105</v>
      </c>
    </row>
    <row r="3" spans="1:11" ht="35.25" thickBot="1" x14ac:dyDescent="0.3">
      <c r="A3" s="11" t="s">
        <v>62</v>
      </c>
      <c r="B3" s="11" t="s">
        <v>102</v>
      </c>
      <c r="C3" s="11" t="s">
        <v>102</v>
      </c>
      <c r="D3" s="11" t="s">
        <v>102</v>
      </c>
      <c r="E3" s="11" t="s">
        <v>103</v>
      </c>
      <c r="F3" s="11" t="s">
        <v>102</v>
      </c>
      <c r="I3" s="10" t="s">
        <v>61</v>
      </c>
      <c r="J3">
        <f>COUNTIF(B2:F2,"P")</f>
        <v>4</v>
      </c>
      <c r="K3">
        <f>COUNTIF(B2:F2,"A")</f>
        <v>1</v>
      </c>
    </row>
    <row r="4" spans="1:11" ht="35.25" thickBot="1" x14ac:dyDescent="0.3">
      <c r="A4" s="10" t="s">
        <v>63</v>
      </c>
      <c r="B4" s="10" t="s">
        <v>103</v>
      </c>
      <c r="C4" s="10" t="s">
        <v>102</v>
      </c>
      <c r="D4" s="10" t="s">
        <v>102</v>
      </c>
      <c r="E4" s="10" t="s">
        <v>102</v>
      </c>
      <c r="F4" s="10" t="s">
        <v>102</v>
      </c>
      <c r="I4" s="11" t="s">
        <v>62</v>
      </c>
      <c r="J4">
        <f t="shared" ref="J4:J22" si="0">COUNTIF(B3:F3,"P")</f>
        <v>4</v>
      </c>
      <c r="K4">
        <f t="shared" ref="K4:K22" si="1">COUNTIF(B3:F3,"A")</f>
        <v>1</v>
      </c>
    </row>
    <row r="5" spans="1:11" ht="18" thickBot="1" x14ac:dyDescent="0.3">
      <c r="A5" s="11" t="s">
        <v>64</v>
      </c>
      <c r="B5" s="11" t="s">
        <v>102</v>
      </c>
      <c r="C5" s="11" t="s">
        <v>103</v>
      </c>
      <c r="D5" s="11" t="s">
        <v>103</v>
      </c>
      <c r="E5" s="11" t="s">
        <v>102</v>
      </c>
      <c r="F5" s="11" t="s">
        <v>103</v>
      </c>
      <c r="I5" s="10" t="s">
        <v>63</v>
      </c>
      <c r="J5">
        <f t="shared" si="0"/>
        <v>4</v>
      </c>
      <c r="K5">
        <f t="shared" si="1"/>
        <v>1</v>
      </c>
    </row>
    <row r="6" spans="1:11" ht="35.25" thickBot="1" x14ac:dyDescent="0.3">
      <c r="A6" s="10" t="s">
        <v>61</v>
      </c>
      <c r="B6" t="str">
        <f ca="1">CHOOSE(RANDBETWEEN(1,2),$B$5,$C$5)</f>
        <v>P</v>
      </c>
      <c r="C6" t="str">
        <f t="shared" ref="C6:F21" ca="1" si="2">CHOOSE(RANDBETWEEN(1,2),$B$5,$C$5)</f>
        <v>A</v>
      </c>
      <c r="D6" t="str">
        <f t="shared" ca="1" si="2"/>
        <v>A</v>
      </c>
      <c r="E6" t="str">
        <f t="shared" ca="1" si="2"/>
        <v>P</v>
      </c>
      <c r="F6" t="str">
        <f t="shared" ca="1" si="2"/>
        <v>P</v>
      </c>
      <c r="I6" s="11" t="s">
        <v>64</v>
      </c>
      <c r="J6">
        <f t="shared" si="0"/>
        <v>2</v>
      </c>
      <c r="K6">
        <f t="shared" si="1"/>
        <v>3</v>
      </c>
    </row>
    <row r="7" spans="1:11" ht="35.25" thickBot="1" x14ac:dyDescent="0.3">
      <c r="A7" s="11" t="s">
        <v>62</v>
      </c>
      <c r="B7" t="str">
        <f t="shared" ref="B7:B21" ca="1" si="3">CHOOSE(RANDBETWEEN(1,2),$B$5,$C$5)</f>
        <v>A</v>
      </c>
      <c r="C7" t="str">
        <f t="shared" ca="1" si="2"/>
        <v>P</v>
      </c>
      <c r="D7" t="str">
        <f t="shared" ca="1" si="2"/>
        <v>A</v>
      </c>
      <c r="E7" t="str">
        <f t="shared" ca="1" si="2"/>
        <v>A</v>
      </c>
      <c r="F7" t="str">
        <f t="shared" ca="1" si="2"/>
        <v>P</v>
      </c>
      <c r="I7" s="10" t="s">
        <v>61</v>
      </c>
      <c r="J7">
        <f t="shared" ca="1" si="0"/>
        <v>3</v>
      </c>
      <c r="K7">
        <f t="shared" ca="1" si="1"/>
        <v>2</v>
      </c>
    </row>
    <row r="8" spans="1:11" ht="35.25" thickBot="1" x14ac:dyDescent="0.3">
      <c r="A8" s="10" t="s">
        <v>63</v>
      </c>
      <c r="B8" t="str">
        <f t="shared" ca="1" si="3"/>
        <v>A</v>
      </c>
      <c r="C8" t="str">
        <f t="shared" ca="1" si="2"/>
        <v>A</v>
      </c>
      <c r="D8" t="str">
        <f t="shared" ca="1" si="2"/>
        <v>P</v>
      </c>
      <c r="E8" t="str">
        <f t="shared" ca="1" si="2"/>
        <v>A</v>
      </c>
      <c r="F8" t="str">
        <f t="shared" ca="1" si="2"/>
        <v>A</v>
      </c>
      <c r="I8" s="11" t="s">
        <v>62</v>
      </c>
      <c r="J8">
        <f t="shared" ca="1" si="0"/>
        <v>2</v>
      </c>
      <c r="K8">
        <f t="shared" ca="1" si="1"/>
        <v>3</v>
      </c>
    </row>
    <row r="9" spans="1:11" ht="18" thickBot="1" x14ac:dyDescent="0.3">
      <c r="A9" s="11" t="s">
        <v>64</v>
      </c>
      <c r="B9" t="str">
        <f t="shared" ca="1" si="3"/>
        <v>A</v>
      </c>
      <c r="C9" t="str">
        <f t="shared" ca="1" si="2"/>
        <v>A</v>
      </c>
      <c r="D9" t="str">
        <f t="shared" ca="1" si="2"/>
        <v>A</v>
      </c>
      <c r="E9" t="str">
        <f t="shared" ca="1" si="2"/>
        <v>P</v>
      </c>
      <c r="F9" t="str">
        <f t="shared" ca="1" si="2"/>
        <v>A</v>
      </c>
      <c r="I9" s="10" t="s">
        <v>63</v>
      </c>
      <c r="J9">
        <f t="shared" ca="1" si="0"/>
        <v>1</v>
      </c>
      <c r="K9">
        <f t="shared" ca="1" si="1"/>
        <v>4</v>
      </c>
    </row>
    <row r="10" spans="1:11" ht="35.25" thickBot="1" x14ac:dyDescent="0.3">
      <c r="A10" s="10" t="s">
        <v>61</v>
      </c>
      <c r="B10" t="str">
        <f t="shared" ca="1" si="3"/>
        <v>A</v>
      </c>
      <c r="C10" t="str">
        <f t="shared" ca="1" si="2"/>
        <v>P</v>
      </c>
      <c r="D10" t="str">
        <f t="shared" ca="1" si="2"/>
        <v>A</v>
      </c>
      <c r="E10" t="str">
        <f t="shared" ca="1" si="2"/>
        <v>P</v>
      </c>
      <c r="F10" t="str">
        <f t="shared" ca="1" si="2"/>
        <v>P</v>
      </c>
      <c r="I10" s="11" t="s">
        <v>64</v>
      </c>
      <c r="J10">
        <f t="shared" ca="1" si="0"/>
        <v>1</v>
      </c>
      <c r="K10">
        <f t="shared" ca="1" si="1"/>
        <v>4</v>
      </c>
    </row>
    <row r="11" spans="1:11" ht="35.25" thickBot="1" x14ac:dyDescent="0.3">
      <c r="A11" s="11" t="s">
        <v>62</v>
      </c>
      <c r="B11" t="str">
        <f t="shared" ca="1" si="3"/>
        <v>A</v>
      </c>
      <c r="C11" t="str">
        <f t="shared" ca="1" si="2"/>
        <v>P</v>
      </c>
      <c r="D11" t="str">
        <f t="shared" ca="1" si="2"/>
        <v>A</v>
      </c>
      <c r="E11" t="str">
        <f t="shared" ca="1" si="2"/>
        <v>A</v>
      </c>
      <c r="F11" t="str">
        <f t="shared" ca="1" si="2"/>
        <v>P</v>
      </c>
      <c r="I11" s="10" t="s">
        <v>61</v>
      </c>
      <c r="J11">
        <f t="shared" ca="1" si="0"/>
        <v>3</v>
      </c>
      <c r="K11">
        <f t="shared" ca="1" si="1"/>
        <v>2</v>
      </c>
    </row>
    <row r="12" spans="1:11" ht="35.25" thickBot="1" x14ac:dyDescent="0.3">
      <c r="A12" s="10" t="s">
        <v>63</v>
      </c>
      <c r="B12" t="str">
        <f t="shared" ca="1" si="3"/>
        <v>A</v>
      </c>
      <c r="C12" t="str">
        <f t="shared" ca="1" si="2"/>
        <v>A</v>
      </c>
      <c r="D12" t="str">
        <f t="shared" ca="1" si="2"/>
        <v>P</v>
      </c>
      <c r="E12" t="str">
        <f t="shared" ca="1" si="2"/>
        <v>A</v>
      </c>
      <c r="F12" t="str">
        <f t="shared" ca="1" si="2"/>
        <v>A</v>
      </c>
      <c r="I12" s="11" t="s">
        <v>62</v>
      </c>
      <c r="J12">
        <f t="shared" ca="1" si="0"/>
        <v>2</v>
      </c>
      <c r="K12">
        <f t="shared" ca="1" si="1"/>
        <v>3</v>
      </c>
    </row>
    <row r="13" spans="1:11" ht="18" thickBot="1" x14ac:dyDescent="0.3">
      <c r="A13" s="11" t="s">
        <v>64</v>
      </c>
      <c r="B13" t="str">
        <f t="shared" ca="1" si="3"/>
        <v>A</v>
      </c>
      <c r="C13" t="str">
        <f t="shared" ca="1" si="2"/>
        <v>A</v>
      </c>
      <c r="D13" t="str">
        <f t="shared" ca="1" si="2"/>
        <v>P</v>
      </c>
      <c r="E13" t="str">
        <f t="shared" ca="1" si="2"/>
        <v>A</v>
      </c>
      <c r="F13" t="str">
        <f t="shared" ca="1" si="2"/>
        <v>A</v>
      </c>
      <c r="I13" s="10" t="s">
        <v>63</v>
      </c>
      <c r="J13">
        <f t="shared" ca="1" si="0"/>
        <v>1</v>
      </c>
      <c r="K13">
        <f t="shared" ca="1" si="1"/>
        <v>4</v>
      </c>
    </row>
    <row r="14" spans="1:11" ht="35.25" thickBot="1" x14ac:dyDescent="0.3">
      <c r="A14" s="10" t="s">
        <v>61</v>
      </c>
      <c r="B14" t="str">
        <f t="shared" ca="1" si="3"/>
        <v>A</v>
      </c>
      <c r="C14" t="str">
        <f t="shared" ca="1" si="2"/>
        <v>A</v>
      </c>
      <c r="D14" t="str">
        <f t="shared" ca="1" si="2"/>
        <v>A</v>
      </c>
      <c r="E14" t="str">
        <f t="shared" ca="1" si="2"/>
        <v>A</v>
      </c>
      <c r="F14" t="str">
        <f t="shared" ca="1" si="2"/>
        <v>A</v>
      </c>
      <c r="I14" s="11" t="s">
        <v>64</v>
      </c>
      <c r="J14">
        <f t="shared" ca="1" si="0"/>
        <v>1</v>
      </c>
      <c r="K14">
        <f t="shared" ca="1" si="1"/>
        <v>4</v>
      </c>
    </row>
    <row r="15" spans="1:11" ht="35.25" thickBot="1" x14ac:dyDescent="0.3">
      <c r="A15" s="11" t="s">
        <v>62</v>
      </c>
      <c r="B15" t="str">
        <f t="shared" ca="1" si="3"/>
        <v>P</v>
      </c>
      <c r="C15" t="str">
        <f t="shared" ca="1" si="2"/>
        <v>P</v>
      </c>
      <c r="D15" t="str">
        <f t="shared" ca="1" si="2"/>
        <v>P</v>
      </c>
      <c r="E15" t="str">
        <f t="shared" ca="1" si="2"/>
        <v>P</v>
      </c>
      <c r="F15" t="str">
        <f t="shared" ca="1" si="2"/>
        <v>P</v>
      </c>
      <c r="I15" s="10" t="s">
        <v>61</v>
      </c>
      <c r="J15">
        <f t="shared" ca="1" si="0"/>
        <v>0</v>
      </c>
      <c r="K15">
        <f t="shared" ca="1" si="1"/>
        <v>5</v>
      </c>
    </row>
    <row r="16" spans="1:11" ht="35.25" thickBot="1" x14ac:dyDescent="0.3">
      <c r="A16" s="10" t="s">
        <v>63</v>
      </c>
      <c r="B16" t="str">
        <f t="shared" ca="1" si="3"/>
        <v>A</v>
      </c>
      <c r="C16" t="str">
        <f t="shared" ca="1" si="2"/>
        <v>P</v>
      </c>
      <c r="D16" t="str">
        <f t="shared" ca="1" si="2"/>
        <v>A</v>
      </c>
      <c r="E16" t="str">
        <f t="shared" ca="1" si="2"/>
        <v>P</v>
      </c>
      <c r="F16" t="str">
        <f t="shared" ca="1" si="2"/>
        <v>A</v>
      </c>
      <c r="I16" s="11" t="s">
        <v>62</v>
      </c>
      <c r="J16">
        <f t="shared" ca="1" si="0"/>
        <v>5</v>
      </c>
      <c r="K16">
        <f t="shared" ca="1" si="1"/>
        <v>0</v>
      </c>
    </row>
    <row r="17" spans="1:11" ht="18" thickBot="1" x14ac:dyDescent="0.3">
      <c r="A17" s="11" t="s">
        <v>64</v>
      </c>
      <c r="B17" t="str">
        <f t="shared" ca="1" si="3"/>
        <v>P</v>
      </c>
      <c r="C17" t="str">
        <f t="shared" ca="1" si="2"/>
        <v>A</v>
      </c>
      <c r="D17" t="str">
        <f t="shared" ca="1" si="2"/>
        <v>P</v>
      </c>
      <c r="E17" t="str">
        <f t="shared" ca="1" si="2"/>
        <v>A</v>
      </c>
      <c r="F17" t="str">
        <f t="shared" ca="1" si="2"/>
        <v>A</v>
      </c>
      <c r="I17" s="10" t="s">
        <v>63</v>
      </c>
      <c r="J17">
        <f t="shared" ca="1" si="0"/>
        <v>2</v>
      </c>
      <c r="K17">
        <f t="shared" ca="1" si="1"/>
        <v>3</v>
      </c>
    </row>
    <row r="18" spans="1:11" ht="35.25" thickBot="1" x14ac:dyDescent="0.3">
      <c r="A18" s="10" t="s">
        <v>61</v>
      </c>
      <c r="B18" t="str">
        <f t="shared" ca="1" si="3"/>
        <v>P</v>
      </c>
      <c r="C18" t="str">
        <f t="shared" ca="1" si="2"/>
        <v>P</v>
      </c>
      <c r="D18" t="str">
        <f t="shared" ca="1" si="2"/>
        <v>P</v>
      </c>
      <c r="E18" t="str">
        <f t="shared" ca="1" si="2"/>
        <v>A</v>
      </c>
      <c r="F18" t="str">
        <f t="shared" ca="1" si="2"/>
        <v>P</v>
      </c>
      <c r="I18" s="11" t="s">
        <v>64</v>
      </c>
      <c r="J18">
        <f t="shared" ca="1" si="0"/>
        <v>2</v>
      </c>
      <c r="K18">
        <f t="shared" ca="1" si="1"/>
        <v>3</v>
      </c>
    </row>
    <row r="19" spans="1:11" ht="35.25" thickBot="1" x14ac:dyDescent="0.3">
      <c r="A19" s="11" t="s">
        <v>62</v>
      </c>
      <c r="B19" t="str">
        <f t="shared" ca="1" si="3"/>
        <v>P</v>
      </c>
      <c r="C19" t="str">
        <f t="shared" ca="1" si="2"/>
        <v>A</v>
      </c>
      <c r="D19" t="str">
        <f t="shared" ca="1" si="2"/>
        <v>A</v>
      </c>
      <c r="E19" t="str">
        <f t="shared" ca="1" si="2"/>
        <v>P</v>
      </c>
      <c r="F19" t="str">
        <f t="shared" ca="1" si="2"/>
        <v>A</v>
      </c>
      <c r="I19" s="10" t="s">
        <v>61</v>
      </c>
      <c r="J19">
        <f t="shared" ca="1" si="0"/>
        <v>4</v>
      </c>
      <c r="K19">
        <f t="shared" ca="1" si="1"/>
        <v>1</v>
      </c>
    </row>
    <row r="20" spans="1:11" ht="35.25" thickBot="1" x14ac:dyDescent="0.3">
      <c r="A20" s="10" t="s">
        <v>63</v>
      </c>
      <c r="B20" t="str">
        <f t="shared" ca="1" si="3"/>
        <v>P</v>
      </c>
      <c r="C20" t="str">
        <f t="shared" ca="1" si="2"/>
        <v>P</v>
      </c>
      <c r="D20" t="str">
        <f t="shared" ca="1" si="2"/>
        <v>P</v>
      </c>
      <c r="E20" t="str">
        <f t="shared" ca="1" si="2"/>
        <v>P</v>
      </c>
      <c r="F20" t="str">
        <f t="shared" ca="1" si="2"/>
        <v>P</v>
      </c>
      <c r="I20" s="11" t="s">
        <v>62</v>
      </c>
      <c r="J20">
        <f t="shared" ca="1" si="0"/>
        <v>2</v>
      </c>
      <c r="K20">
        <f t="shared" ca="1" si="1"/>
        <v>3</v>
      </c>
    </row>
    <row r="21" spans="1:11" ht="18" thickBot="1" x14ac:dyDescent="0.3">
      <c r="A21" s="11" t="s">
        <v>64</v>
      </c>
      <c r="B21" t="str">
        <f t="shared" ca="1" si="3"/>
        <v>A</v>
      </c>
      <c r="C21" t="str">
        <f t="shared" ca="1" si="2"/>
        <v>A</v>
      </c>
      <c r="D21" t="str">
        <f t="shared" ca="1" si="2"/>
        <v>P</v>
      </c>
      <c r="E21" t="str">
        <f t="shared" ca="1" si="2"/>
        <v>P</v>
      </c>
      <c r="F21" t="str">
        <f t="shared" ca="1" si="2"/>
        <v>P</v>
      </c>
      <c r="I21" s="10" t="s">
        <v>63</v>
      </c>
      <c r="J21">
        <f t="shared" ca="1" si="0"/>
        <v>5</v>
      </c>
      <c r="K21">
        <f t="shared" ca="1" si="1"/>
        <v>0</v>
      </c>
    </row>
    <row r="22" spans="1:11" ht="18" thickBot="1" x14ac:dyDescent="0.3">
      <c r="I22" s="11" t="s">
        <v>64</v>
      </c>
      <c r="J22">
        <f t="shared" ca="1" si="0"/>
        <v>3</v>
      </c>
      <c r="K22">
        <f t="shared" ca="1" si="1"/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DF04-E4F5-423E-8305-ADF15CC736A2}">
  <dimension ref="A1:B21"/>
  <sheetViews>
    <sheetView topLeftCell="A6" workbookViewId="0">
      <selection activeCell="K14" sqref="K14"/>
    </sheetView>
  </sheetViews>
  <sheetFormatPr defaultRowHeight="15" x14ac:dyDescent="0.25"/>
  <sheetData>
    <row r="1" spans="1:2" ht="52.5" thickBot="1" x14ac:dyDescent="0.3">
      <c r="A1" s="27" t="s">
        <v>106</v>
      </c>
      <c r="B1" s="27" t="s">
        <v>36</v>
      </c>
    </row>
    <row r="2" spans="1:2" ht="18" thickBot="1" x14ac:dyDescent="0.3">
      <c r="A2" s="10" t="s">
        <v>107</v>
      </c>
      <c r="B2" s="10">
        <v>4500</v>
      </c>
    </row>
    <row r="3" spans="1:2" ht="18" thickBot="1" x14ac:dyDescent="0.3">
      <c r="A3" s="11" t="s">
        <v>108</v>
      </c>
      <c r="B3" s="11">
        <v>12000</v>
      </c>
    </row>
    <row r="4" spans="1:2" ht="18" thickBot="1" x14ac:dyDescent="0.3">
      <c r="A4" s="10" t="s">
        <v>109</v>
      </c>
      <c r="B4" s="10">
        <v>8000</v>
      </c>
    </row>
    <row r="5" spans="1:2" ht="18" thickBot="1" x14ac:dyDescent="0.3">
      <c r="A5" s="11" t="s">
        <v>110</v>
      </c>
      <c r="B5" s="11">
        <v>25000</v>
      </c>
    </row>
    <row r="6" spans="1:2" ht="18" thickBot="1" x14ac:dyDescent="0.3">
      <c r="A6" s="10" t="s">
        <v>111</v>
      </c>
      <c r="B6" s="10">
        <v>3000</v>
      </c>
    </row>
    <row r="7" spans="1:2" ht="18" thickBot="1" x14ac:dyDescent="0.3">
      <c r="A7" s="11" t="s">
        <v>112</v>
      </c>
      <c r="B7" s="11">
        <v>15000</v>
      </c>
    </row>
    <row r="8" spans="1:2" ht="18" thickBot="1" x14ac:dyDescent="0.3">
      <c r="A8" s="10" t="s">
        <v>113</v>
      </c>
      <c r="B8">
        <f ca="1">RANDBETWEEN(2000,20000)</f>
        <v>3178</v>
      </c>
    </row>
    <row r="9" spans="1:2" ht="18" thickBot="1" x14ac:dyDescent="0.3">
      <c r="A9" s="11" t="s">
        <v>114</v>
      </c>
      <c r="B9">
        <f t="shared" ref="B9:B21" ca="1" si="0">RANDBETWEEN(2000,20000)</f>
        <v>15008</v>
      </c>
    </row>
    <row r="10" spans="1:2" ht="18" thickBot="1" x14ac:dyDescent="0.3">
      <c r="A10" s="10" t="s">
        <v>115</v>
      </c>
      <c r="B10">
        <f t="shared" ca="1" si="0"/>
        <v>7468</v>
      </c>
    </row>
    <row r="11" spans="1:2" ht="18" thickBot="1" x14ac:dyDescent="0.3">
      <c r="A11" s="11" t="s">
        <v>116</v>
      </c>
      <c r="B11">
        <f t="shared" ca="1" si="0"/>
        <v>15769</v>
      </c>
    </row>
    <row r="12" spans="1:2" ht="18" thickBot="1" x14ac:dyDescent="0.3">
      <c r="A12" s="10" t="s">
        <v>117</v>
      </c>
      <c r="B12">
        <f t="shared" ca="1" si="0"/>
        <v>14744</v>
      </c>
    </row>
    <row r="13" spans="1:2" ht="18" thickBot="1" x14ac:dyDescent="0.3">
      <c r="A13" s="11" t="s">
        <v>118</v>
      </c>
      <c r="B13">
        <f t="shared" ca="1" si="0"/>
        <v>3213</v>
      </c>
    </row>
    <row r="14" spans="1:2" ht="18" thickBot="1" x14ac:dyDescent="0.3">
      <c r="A14" s="10" t="s">
        <v>119</v>
      </c>
      <c r="B14">
        <f t="shared" ca="1" si="0"/>
        <v>17369</v>
      </c>
    </row>
    <row r="15" spans="1:2" ht="18" thickBot="1" x14ac:dyDescent="0.3">
      <c r="A15" s="11" t="s">
        <v>120</v>
      </c>
      <c r="B15">
        <f t="shared" ca="1" si="0"/>
        <v>11708</v>
      </c>
    </row>
    <row r="16" spans="1:2" ht="18" thickBot="1" x14ac:dyDescent="0.3">
      <c r="A16" s="10" t="s">
        <v>121</v>
      </c>
      <c r="B16">
        <f t="shared" ca="1" si="0"/>
        <v>7107</v>
      </c>
    </row>
    <row r="17" spans="1:2" ht="18" thickBot="1" x14ac:dyDescent="0.3">
      <c r="A17" s="11" t="s">
        <v>122</v>
      </c>
      <c r="B17">
        <f t="shared" ca="1" si="0"/>
        <v>17564</v>
      </c>
    </row>
    <row r="18" spans="1:2" ht="18" thickBot="1" x14ac:dyDescent="0.3">
      <c r="A18" s="10" t="s">
        <v>123</v>
      </c>
      <c r="B18">
        <f t="shared" ca="1" si="0"/>
        <v>18862</v>
      </c>
    </row>
    <row r="19" spans="1:2" ht="18" thickBot="1" x14ac:dyDescent="0.3">
      <c r="A19" s="11" t="s">
        <v>124</v>
      </c>
      <c r="B19">
        <f t="shared" ca="1" si="0"/>
        <v>15395</v>
      </c>
    </row>
    <row r="20" spans="1:2" ht="18" thickBot="1" x14ac:dyDescent="0.3">
      <c r="A20" s="10" t="s">
        <v>125</v>
      </c>
      <c r="B20">
        <f t="shared" ca="1" si="0"/>
        <v>9830</v>
      </c>
    </row>
    <row r="21" spans="1:2" ht="18" thickBot="1" x14ac:dyDescent="0.3">
      <c r="A21" s="11" t="s">
        <v>126</v>
      </c>
      <c r="B21">
        <f t="shared" ca="1" si="0"/>
        <v>8696</v>
      </c>
    </row>
  </sheetData>
  <phoneticPr fontId="2" type="noConversion"/>
  <conditionalFormatting sqref="B2:B21">
    <cfRule type="cellIs" dxfId="10" priority="1" operator="lessThan">
      <formula>5000</formula>
    </cfRule>
    <cfRule type="cellIs" dxfId="9" priority="2" operator="greaterThan">
      <formula>10000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F4D2-1A7A-447E-9948-BD96B051CB50}">
  <dimension ref="A1:B21"/>
  <sheetViews>
    <sheetView topLeftCell="A12" workbookViewId="0">
      <selection activeCell="N19" sqref="N19"/>
    </sheetView>
  </sheetViews>
  <sheetFormatPr defaultRowHeight="15" x14ac:dyDescent="0.25"/>
  <sheetData>
    <row r="1" spans="1:2" ht="52.5" thickBot="1" x14ac:dyDescent="0.3">
      <c r="A1" s="27" t="s">
        <v>127</v>
      </c>
      <c r="B1" s="27" t="s">
        <v>36</v>
      </c>
    </row>
    <row r="2" spans="1:2" ht="35.25" thickBot="1" x14ac:dyDescent="0.3">
      <c r="A2" s="10" t="s">
        <v>128</v>
      </c>
      <c r="B2" s="10">
        <v>22000</v>
      </c>
    </row>
    <row r="3" spans="1:2" ht="35.25" thickBot="1" x14ac:dyDescent="0.3">
      <c r="A3" s="11" t="s">
        <v>129</v>
      </c>
      <c r="B3" s="11">
        <v>3500</v>
      </c>
    </row>
    <row r="4" spans="1:2" ht="35.25" thickBot="1" x14ac:dyDescent="0.3">
      <c r="A4" s="10" t="s">
        <v>130</v>
      </c>
      <c r="B4" s="10">
        <v>58000</v>
      </c>
    </row>
    <row r="5" spans="1:2" ht="35.25" thickBot="1" x14ac:dyDescent="0.3">
      <c r="A5" s="11" t="s">
        <v>131</v>
      </c>
      <c r="B5" s="11">
        <v>1800</v>
      </c>
    </row>
    <row r="6" spans="1:2" ht="18" thickBot="1" x14ac:dyDescent="0.3">
      <c r="A6" s="10" t="s">
        <v>132</v>
      </c>
      <c r="B6" s="10">
        <v>12000</v>
      </c>
    </row>
    <row r="7" spans="1:2" ht="35.25" thickBot="1" x14ac:dyDescent="0.3">
      <c r="A7" s="10" t="s">
        <v>128</v>
      </c>
      <c r="B7">
        <f ca="1">RANDBETWEEN(2000,30000)</f>
        <v>17918</v>
      </c>
    </row>
    <row r="8" spans="1:2" ht="35.25" thickBot="1" x14ac:dyDescent="0.3">
      <c r="A8" s="11" t="s">
        <v>129</v>
      </c>
      <c r="B8">
        <f t="shared" ref="B8:B21" ca="1" si="0">RANDBETWEEN(2000,30000)</f>
        <v>11923</v>
      </c>
    </row>
    <row r="9" spans="1:2" ht="35.25" thickBot="1" x14ac:dyDescent="0.3">
      <c r="A9" s="10" t="s">
        <v>130</v>
      </c>
      <c r="B9">
        <f t="shared" ca="1" si="0"/>
        <v>19429</v>
      </c>
    </row>
    <row r="10" spans="1:2" ht="35.25" thickBot="1" x14ac:dyDescent="0.3">
      <c r="A10" s="11" t="s">
        <v>131</v>
      </c>
      <c r="B10">
        <f t="shared" ca="1" si="0"/>
        <v>28829</v>
      </c>
    </row>
    <row r="11" spans="1:2" ht="18" thickBot="1" x14ac:dyDescent="0.3">
      <c r="A11" s="10" t="s">
        <v>132</v>
      </c>
      <c r="B11">
        <f t="shared" ca="1" si="0"/>
        <v>6767</v>
      </c>
    </row>
    <row r="12" spans="1:2" ht="35.25" thickBot="1" x14ac:dyDescent="0.3">
      <c r="A12" s="10" t="s">
        <v>128</v>
      </c>
      <c r="B12">
        <f t="shared" ca="1" si="0"/>
        <v>3365</v>
      </c>
    </row>
    <row r="13" spans="1:2" ht="35.25" thickBot="1" x14ac:dyDescent="0.3">
      <c r="A13" s="11" t="s">
        <v>129</v>
      </c>
      <c r="B13">
        <f t="shared" ca="1" si="0"/>
        <v>21867</v>
      </c>
    </row>
    <row r="14" spans="1:2" ht="35.25" thickBot="1" x14ac:dyDescent="0.3">
      <c r="A14" s="10" t="s">
        <v>130</v>
      </c>
      <c r="B14">
        <f t="shared" ca="1" si="0"/>
        <v>13252</v>
      </c>
    </row>
    <row r="15" spans="1:2" ht="35.25" thickBot="1" x14ac:dyDescent="0.3">
      <c r="A15" s="11" t="s">
        <v>131</v>
      </c>
      <c r="B15">
        <f t="shared" ca="1" si="0"/>
        <v>25754</v>
      </c>
    </row>
    <row r="16" spans="1:2" ht="18" thickBot="1" x14ac:dyDescent="0.3">
      <c r="A16" s="10" t="s">
        <v>132</v>
      </c>
      <c r="B16">
        <f t="shared" ca="1" si="0"/>
        <v>18597</v>
      </c>
    </row>
    <row r="17" spans="1:2" ht="35.25" thickBot="1" x14ac:dyDescent="0.3">
      <c r="A17" s="10" t="s">
        <v>128</v>
      </c>
      <c r="B17">
        <f t="shared" ca="1" si="0"/>
        <v>9016</v>
      </c>
    </row>
    <row r="18" spans="1:2" ht="35.25" thickBot="1" x14ac:dyDescent="0.3">
      <c r="A18" s="11" t="s">
        <v>129</v>
      </c>
      <c r="B18">
        <f t="shared" ca="1" si="0"/>
        <v>4609</v>
      </c>
    </row>
    <row r="19" spans="1:2" ht="35.25" thickBot="1" x14ac:dyDescent="0.3">
      <c r="A19" s="10" t="s">
        <v>130</v>
      </c>
      <c r="B19">
        <f t="shared" ca="1" si="0"/>
        <v>21835</v>
      </c>
    </row>
    <row r="20" spans="1:2" ht="35.25" thickBot="1" x14ac:dyDescent="0.3">
      <c r="A20" s="11" t="s">
        <v>131</v>
      </c>
      <c r="B20">
        <f t="shared" ca="1" si="0"/>
        <v>29485</v>
      </c>
    </row>
    <row r="21" spans="1:2" ht="18" thickBot="1" x14ac:dyDescent="0.3">
      <c r="A21" s="10" t="s">
        <v>132</v>
      </c>
      <c r="B21">
        <f t="shared" ca="1" si="0"/>
        <v>22199</v>
      </c>
    </row>
  </sheetData>
  <conditionalFormatting sqref="B2:B21">
    <cfRule type="cellIs" dxfId="7" priority="2" operator="greaterThan">
      <formula>20000</formula>
    </cfRule>
    <cfRule type="cellIs" dxfId="8" priority="1" operator="lessThan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B08B-E4FF-4981-8003-F233E85E5AF9}">
  <dimension ref="A1:C21"/>
  <sheetViews>
    <sheetView workbookViewId="0">
      <selection activeCell="C2" sqref="C2:C21"/>
    </sheetView>
  </sheetViews>
  <sheetFormatPr defaultRowHeight="15" x14ac:dyDescent="0.25"/>
  <sheetData>
    <row r="1" spans="1:3" ht="35.25" thickBot="1" x14ac:dyDescent="0.3">
      <c r="A1" s="27" t="s">
        <v>55</v>
      </c>
      <c r="B1" s="27" t="s">
        <v>1</v>
      </c>
      <c r="C1" s="27" t="s">
        <v>137</v>
      </c>
    </row>
    <row r="2" spans="1:3" ht="18" thickBot="1" x14ac:dyDescent="0.3">
      <c r="A2" s="10">
        <v>1</v>
      </c>
      <c r="B2" s="10" t="s">
        <v>95</v>
      </c>
      <c r="C2" s="10">
        <v>85</v>
      </c>
    </row>
    <row r="3" spans="1:3" ht="18" thickBot="1" x14ac:dyDescent="0.3">
      <c r="A3" s="11">
        <v>2</v>
      </c>
      <c r="B3" s="11" t="s">
        <v>138</v>
      </c>
      <c r="C3" s="11">
        <v>72</v>
      </c>
    </row>
    <row r="4" spans="1:3" ht="35.25" thickBot="1" x14ac:dyDescent="0.3">
      <c r="A4" s="10">
        <v>3</v>
      </c>
      <c r="B4" s="10" t="s">
        <v>139</v>
      </c>
      <c r="C4" s="10">
        <v>39</v>
      </c>
    </row>
    <row r="5" spans="1:3" ht="18" thickBot="1" x14ac:dyDescent="0.3">
      <c r="A5" s="11">
        <v>4</v>
      </c>
      <c r="B5" s="11" t="s">
        <v>140</v>
      </c>
      <c r="C5" s="11">
        <v>91</v>
      </c>
    </row>
    <row r="6" spans="1:3" ht="35.25" thickBot="1" x14ac:dyDescent="0.3">
      <c r="A6" s="10">
        <v>5</v>
      </c>
      <c r="B6" s="10" t="s">
        <v>141</v>
      </c>
      <c r="C6" s="10">
        <v>28</v>
      </c>
    </row>
    <row r="7" spans="1:3" ht="18" thickBot="1" x14ac:dyDescent="0.3">
      <c r="A7" s="10">
        <v>6</v>
      </c>
      <c r="B7" s="10" t="s">
        <v>95</v>
      </c>
      <c r="C7">
        <f ca="1">RANDBETWEEN(30,100)</f>
        <v>94</v>
      </c>
    </row>
    <row r="8" spans="1:3" ht="18" thickBot="1" x14ac:dyDescent="0.3">
      <c r="A8" s="11">
        <v>7</v>
      </c>
      <c r="B8" s="11" t="s">
        <v>138</v>
      </c>
      <c r="C8">
        <f t="shared" ref="C8:C21" ca="1" si="0">RANDBETWEEN(30,100)</f>
        <v>35</v>
      </c>
    </row>
    <row r="9" spans="1:3" ht="35.25" thickBot="1" x14ac:dyDescent="0.3">
      <c r="A9" s="10">
        <v>8</v>
      </c>
      <c r="B9" s="10" t="s">
        <v>139</v>
      </c>
      <c r="C9">
        <f t="shared" ca="1" si="0"/>
        <v>71</v>
      </c>
    </row>
    <row r="10" spans="1:3" ht="18" thickBot="1" x14ac:dyDescent="0.3">
      <c r="A10" s="11">
        <v>9</v>
      </c>
      <c r="B10" s="11" t="s">
        <v>140</v>
      </c>
      <c r="C10">
        <f t="shared" ca="1" si="0"/>
        <v>77</v>
      </c>
    </row>
    <row r="11" spans="1:3" ht="35.25" thickBot="1" x14ac:dyDescent="0.3">
      <c r="A11" s="10">
        <v>10</v>
      </c>
      <c r="B11" s="10" t="s">
        <v>141</v>
      </c>
      <c r="C11">
        <f t="shared" ca="1" si="0"/>
        <v>43</v>
      </c>
    </row>
    <row r="12" spans="1:3" ht="18" thickBot="1" x14ac:dyDescent="0.3">
      <c r="A12" s="10">
        <v>11</v>
      </c>
      <c r="B12" s="10" t="s">
        <v>95</v>
      </c>
      <c r="C12">
        <f t="shared" ca="1" si="0"/>
        <v>59</v>
      </c>
    </row>
    <row r="13" spans="1:3" ht="18" thickBot="1" x14ac:dyDescent="0.3">
      <c r="A13" s="11">
        <v>12</v>
      </c>
      <c r="B13" s="11" t="s">
        <v>138</v>
      </c>
      <c r="C13">
        <f t="shared" ca="1" si="0"/>
        <v>59</v>
      </c>
    </row>
    <row r="14" spans="1:3" ht="35.25" thickBot="1" x14ac:dyDescent="0.3">
      <c r="A14" s="10">
        <v>13</v>
      </c>
      <c r="B14" s="10" t="s">
        <v>139</v>
      </c>
      <c r="C14">
        <f t="shared" ca="1" si="0"/>
        <v>59</v>
      </c>
    </row>
    <row r="15" spans="1:3" ht="18" thickBot="1" x14ac:dyDescent="0.3">
      <c r="A15" s="11">
        <v>14</v>
      </c>
      <c r="B15" s="11" t="s">
        <v>140</v>
      </c>
      <c r="C15">
        <f t="shared" ca="1" si="0"/>
        <v>76</v>
      </c>
    </row>
    <row r="16" spans="1:3" ht="35.25" thickBot="1" x14ac:dyDescent="0.3">
      <c r="A16" s="10">
        <v>15</v>
      </c>
      <c r="B16" s="10" t="s">
        <v>141</v>
      </c>
      <c r="C16">
        <f t="shared" ca="1" si="0"/>
        <v>97</v>
      </c>
    </row>
    <row r="17" spans="1:3" ht="18" thickBot="1" x14ac:dyDescent="0.3">
      <c r="A17" s="10">
        <v>16</v>
      </c>
      <c r="B17" s="10" t="s">
        <v>95</v>
      </c>
      <c r="C17">
        <f t="shared" ca="1" si="0"/>
        <v>74</v>
      </c>
    </row>
    <row r="18" spans="1:3" ht="18" thickBot="1" x14ac:dyDescent="0.3">
      <c r="A18" s="11">
        <v>17</v>
      </c>
      <c r="B18" s="11" t="s">
        <v>138</v>
      </c>
      <c r="C18">
        <f t="shared" ca="1" si="0"/>
        <v>55</v>
      </c>
    </row>
    <row r="19" spans="1:3" ht="35.25" thickBot="1" x14ac:dyDescent="0.3">
      <c r="A19" s="10">
        <v>18</v>
      </c>
      <c r="B19" s="10" t="s">
        <v>139</v>
      </c>
      <c r="C19">
        <f t="shared" ca="1" si="0"/>
        <v>63</v>
      </c>
    </row>
    <row r="20" spans="1:3" ht="18" thickBot="1" x14ac:dyDescent="0.3">
      <c r="A20" s="11">
        <v>19</v>
      </c>
      <c r="B20" s="11" t="s">
        <v>140</v>
      </c>
      <c r="C20">
        <f t="shared" ca="1" si="0"/>
        <v>58</v>
      </c>
    </row>
    <row r="21" spans="1:3" ht="35.25" thickBot="1" x14ac:dyDescent="0.3">
      <c r="A21" s="10">
        <v>20</v>
      </c>
      <c r="B21" s="10" t="s">
        <v>141</v>
      </c>
      <c r="C21">
        <f t="shared" ca="1" si="0"/>
        <v>73</v>
      </c>
    </row>
  </sheetData>
  <conditionalFormatting sqref="C2:C21">
    <cfRule type="cellIs" dxfId="6" priority="1" operator="greaterThan">
      <formula>75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7878-E650-408D-B1AF-4743F0BA0FE9}">
  <dimension ref="A1:B21"/>
  <sheetViews>
    <sheetView tabSelected="1" workbookViewId="0">
      <selection activeCell="B21" sqref="B2:B21"/>
    </sheetView>
  </sheetViews>
  <sheetFormatPr defaultRowHeight="15" x14ac:dyDescent="0.25"/>
  <sheetData>
    <row r="1" spans="1:2" ht="52.5" thickBot="1" x14ac:dyDescent="0.3">
      <c r="A1" s="27" t="s">
        <v>90</v>
      </c>
      <c r="B1" s="27" t="s">
        <v>3</v>
      </c>
    </row>
    <row r="2" spans="1:2" ht="18" thickBot="1" x14ac:dyDescent="0.3">
      <c r="A2" s="10" t="s">
        <v>142</v>
      </c>
      <c r="B2" s="10">
        <v>28000</v>
      </c>
    </row>
    <row r="3" spans="1:2" ht="35.25" thickBot="1" x14ac:dyDescent="0.3">
      <c r="A3" s="11" t="s">
        <v>143</v>
      </c>
      <c r="B3" s="11">
        <v>34000</v>
      </c>
    </row>
    <row r="4" spans="1:2" ht="18" thickBot="1" x14ac:dyDescent="0.3">
      <c r="A4" s="10" t="s">
        <v>144</v>
      </c>
      <c r="B4" s="10">
        <v>51000</v>
      </c>
    </row>
    <row r="5" spans="1:2" ht="18" thickBot="1" x14ac:dyDescent="0.3">
      <c r="A5" s="11" t="s">
        <v>145</v>
      </c>
      <c r="B5" s="11">
        <v>47000</v>
      </c>
    </row>
    <row r="6" spans="1:2" ht="35.25" thickBot="1" x14ac:dyDescent="0.3">
      <c r="A6" s="10" t="s">
        <v>146</v>
      </c>
      <c r="B6" s="10">
        <v>29000</v>
      </c>
    </row>
    <row r="7" spans="1:2" ht="18" thickBot="1" x14ac:dyDescent="0.3">
      <c r="A7" s="10" t="s">
        <v>142</v>
      </c>
      <c r="B7">
        <f ca="1">RANDBETWEEN(15000,60000)</f>
        <v>41693</v>
      </c>
    </row>
    <row r="8" spans="1:2" ht="35.25" thickBot="1" x14ac:dyDescent="0.3">
      <c r="A8" s="11" t="s">
        <v>143</v>
      </c>
      <c r="B8">
        <f t="shared" ref="B8:B21" ca="1" si="0">RANDBETWEEN(15000,60000)</f>
        <v>27950</v>
      </c>
    </row>
    <row r="9" spans="1:2" ht="18" thickBot="1" x14ac:dyDescent="0.3">
      <c r="A9" s="10" t="s">
        <v>144</v>
      </c>
      <c r="B9">
        <f t="shared" ca="1" si="0"/>
        <v>16704</v>
      </c>
    </row>
    <row r="10" spans="1:2" ht="18" thickBot="1" x14ac:dyDescent="0.3">
      <c r="A10" s="11" t="s">
        <v>145</v>
      </c>
      <c r="B10">
        <f t="shared" ca="1" si="0"/>
        <v>22098</v>
      </c>
    </row>
    <row r="11" spans="1:2" ht="35.25" thickBot="1" x14ac:dyDescent="0.3">
      <c r="A11" s="10" t="s">
        <v>146</v>
      </c>
      <c r="B11">
        <f t="shared" ca="1" si="0"/>
        <v>54920</v>
      </c>
    </row>
    <row r="12" spans="1:2" ht="18" thickBot="1" x14ac:dyDescent="0.3">
      <c r="A12" s="10" t="s">
        <v>142</v>
      </c>
      <c r="B12">
        <f t="shared" ca="1" si="0"/>
        <v>15286</v>
      </c>
    </row>
    <row r="13" spans="1:2" ht="35.25" thickBot="1" x14ac:dyDescent="0.3">
      <c r="A13" s="11" t="s">
        <v>143</v>
      </c>
      <c r="B13">
        <f t="shared" ca="1" si="0"/>
        <v>25494</v>
      </c>
    </row>
    <row r="14" spans="1:2" ht="18" thickBot="1" x14ac:dyDescent="0.3">
      <c r="A14" s="10" t="s">
        <v>144</v>
      </c>
      <c r="B14">
        <f t="shared" ca="1" si="0"/>
        <v>15385</v>
      </c>
    </row>
    <row r="15" spans="1:2" ht="18" thickBot="1" x14ac:dyDescent="0.3">
      <c r="A15" s="11" t="s">
        <v>145</v>
      </c>
      <c r="B15">
        <f t="shared" ca="1" si="0"/>
        <v>34652</v>
      </c>
    </row>
    <row r="16" spans="1:2" ht="35.25" thickBot="1" x14ac:dyDescent="0.3">
      <c r="A16" s="10" t="s">
        <v>146</v>
      </c>
      <c r="B16">
        <f t="shared" ca="1" si="0"/>
        <v>35026</v>
      </c>
    </row>
    <row r="17" spans="1:2" ht="18" thickBot="1" x14ac:dyDescent="0.3">
      <c r="A17" s="10" t="s">
        <v>142</v>
      </c>
      <c r="B17">
        <f t="shared" ca="1" si="0"/>
        <v>19909</v>
      </c>
    </row>
    <row r="18" spans="1:2" ht="35.25" thickBot="1" x14ac:dyDescent="0.3">
      <c r="A18" s="11" t="s">
        <v>143</v>
      </c>
      <c r="B18">
        <f t="shared" ca="1" si="0"/>
        <v>22295</v>
      </c>
    </row>
    <row r="19" spans="1:2" ht="18" thickBot="1" x14ac:dyDescent="0.3">
      <c r="A19" s="10" t="s">
        <v>144</v>
      </c>
      <c r="B19">
        <f t="shared" ca="1" si="0"/>
        <v>52643</v>
      </c>
    </row>
    <row r="20" spans="1:2" ht="18" thickBot="1" x14ac:dyDescent="0.3">
      <c r="A20" s="11" t="s">
        <v>145</v>
      </c>
      <c r="B20">
        <f t="shared" ca="1" si="0"/>
        <v>41369</v>
      </c>
    </row>
    <row r="21" spans="1:2" ht="35.25" thickBot="1" x14ac:dyDescent="0.3">
      <c r="A21" s="10" t="s">
        <v>146</v>
      </c>
      <c r="B21">
        <f ca="1">RANDBETWEEN(15000,60000)</f>
        <v>25271</v>
      </c>
    </row>
  </sheetData>
  <conditionalFormatting sqref="B2:B21">
    <cfRule type="cellIs" dxfId="0" priority="3" operator="greaterThan">
      <formula>50000</formula>
    </cfRule>
    <cfRule type="cellIs" dxfId="1" priority="2" operator="lessThan">
      <formula>30000</formula>
    </cfRule>
    <cfRule type="cellIs" dxfId="2" priority="1" operator="between">
      <formula>30000</formula>
      <formula>49999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ASDC24</dc:creator>
  <cp:lastModifiedBy>ASDC24</cp:lastModifiedBy>
  <cp:lastPrinted>2026-06-23T10:05:35Z</cp:lastPrinted>
  <dcterms:created xsi:type="dcterms:W3CDTF">2026-06-23T10:04:09Z</dcterms:created>
  <dcterms:modified xsi:type="dcterms:W3CDTF">2026-06-24T08:47:52Z</dcterms:modified>
</cp:coreProperties>
</file>